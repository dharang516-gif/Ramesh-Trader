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53B6EE82-85D3-431B-ABE4-B0D1C3F3E91B}" xr6:coauthVersionLast="47" xr6:coauthVersionMax="47" xr10:uidLastSave="{00000000-0000-0000-0000-000000000000}"/>
  <bookViews>
    <workbookView xWindow="-108" yWindow="-108" windowWidth="16608" windowHeight="8832" firstSheet="4" activeTab="7" xr2:uid="{A388B9A1-16BC-4717-89B1-1E32E1C8D60C}"/>
  </bookViews>
  <sheets>
    <sheet name="Problems." sheetId="1" r:id="rId1"/>
    <sheet name="Journal entries." sheetId="2" r:id="rId2"/>
    <sheet name="Ledger Accounts." sheetId="3" r:id="rId3"/>
    <sheet name="Trial Balance." sheetId="4" r:id="rId4"/>
    <sheet name="Trading Account." sheetId="5" r:id="rId5"/>
    <sheet name="P&amp;L." sheetId="6" r:id="rId6"/>
    <sheet name="Balance Sheet." sheetId="7" r:id="rId7"/>
    <sheet name="Ratio Analysis.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B45" i="8"/>
  <c r="B44" i="8"/>
  <c r="B41" i="8"/>
  <c r="B34" i="8"/>
  <c r="B35" i="8" s="1"/>
  <c r="B28" i="8"/>
  <c r="B30" i="8" s="1"/>
  <c r="B25" i="8"/>
  <c r="B19" i="8"/>
  <c r="B17" i="8"/>
  <c r="B11" i="8"/>
  <c r="B7" i="8"/>
  <c r="C16" i="7"/>
  <c r="F16" i="7"/>
  <c r="F14" i="7"/>
  <c r="F12" i="7"/>
  <c r="F7" i="7"/>
  <c r="B13" i="8" l="1"/>
  <c r="B47" i="8"/>
  <c r="C7" i="7" l="1"/>
  <c r="C18" i="6"/>
  <c r="F20" i="6"/>
  <c r="C10" i="6" l="1"/>
  <c r="C7" i="6"/>
  <c r="C20" i="6" s="1"/>
  <c r="C13" i="5" l="1"/>
  <c r="F13" i="5"/>
  <c r="F6" i="5"/>
  <c r="C10" i="5"/>
  <c r="C7" i="5"/>
  <c r="C32" i="4" l="1"/>
  <c r="D32" i="4"/>
  <c r="D40" i="3"/>
  <c r="H257" i="3"/>
  <c r="H258" i="3" s="1"/>
  <c r="D257" i="3"/>
  <c r="D255" i="3"/>
  <c r="H249" i="3"/>
  <c r="H250" i="3" s="1"/>
  <c r="D247" i="3"/>
  <c r="D241" i="3"/>
  <c r="D242" i="3" s="1"/>
  <c r="H239" i="3"/>
  <c r="H241" i="3" s="1"/>
  <c r="D233" i="3"/>
  <c r="D234" i="3" s="1"/>
  <c r="H231" i="3"/>
  <c r="H233" i="3" s="1"/>
  <c r="D225" i="3"/>
  <c r="D226" i="3" s="1"/>
  <c r="H223" i="3"/>
  <c r="H225" i="3" s="1"/>
  <c r="D217" i="3"/>
  <c r="D218" i="3" s="1"/>
  <c r="H215" i="3"/>
  <c r="H217" i="3" s="1"/>
  <c r="D209" i="3"/>
  <c r="D210" i="3" s="1"/>
  <c r="H207" i="3"/>
  <c r="H209" i="3" s="1"/>
  <c r="D201" i="3"/>
  <c r="D202" i="3" s="1"/>
  <c r="H199" i="3"/>
  <c r="H201" i="3" s="1"/>
  <c r="D193" i="3"/>
  <c r="D194" i="3" s="1"/>
  <c r="H191" i="3"/>
  <c r="H193" i="3" s="1"/>
  <c r="H185" i="3"/>
  <c r="H186" i="3" s="1"/>
  <c r="D183" i="3"/>
  <c r="D177" i="3"/>
  <c r="D178" i="3" s="1"/>
  <c r="H175" i="3"/>
  <c r="H177" i="3" s="1"/>
  <c r="D170" i="3"/>
  <c r="H170" i="3"/>
  <c r="H161" i="3"/>
  <c r="H162" i="3" s="1"/>
  <c r="D159" i="3"/>
  <c r="H153" i="3"/>
  <c r="D153" i="3" s="1"/>
  <c r="D151" i="3"/>
  <c r="D129" i="3"/>
  <c r="D130" i="3" s="1"/>
  <c r="H126" i="3" s="1"/>
  <c r="H129" i="3" s="1"/>
  <c r="D145" i="3"/>
  <c r="D146" i="3" s="1"/>
  <c r="H143" i="3"/>
  <c r="H145" i="3" s="1"/>
  <c r="H135" i="3"/>
  <c r="H137" i="3" s="1"/>
  <c r="D137" i="3"/>
  <c r="D138" i="3" s="1"/>
  <c r="D120" i="3"/>
  <c r="D121" i="3" s="1"/>
  <c r="H118" i="3"/>
  <c r="H120" i="3" s="1"/>
  <c r="D110" i="3"/>
  <c r="H112" i="3"/>
  <c r="H113" i="3" s="1"/>
  <c r="D105" i="3"/>
  <c r="H104" i="3"/>
  <c r="D104" i="3"/>
  <c r="D97" i="3"/>
  <c r="H97" i="3"/>
  <c r="D88" i="3"/>
  <c r="H87" i="3"/>
  <c r="D87" i="3"/>
  <c r="H79" i="3"/>
  <c r="H80" i="3" s="1"/>
  <c r="H68" i="3"/>
  <c r="D68" i="3"/>
  <c r="D58" i="3"/>
  <c r="D59" i="3" s="1"/>
  <c r="H53" i="3" s="1"/>
  <c r="H58" i="3" s="1"/>
  <c r="D47" i="3"/>
  <c r="H47" i="3" s="1"/>
  <c r="D39" i="3"/>
  <c r="H39" i="3"/>
  <c r="D28" i="3"/>
  <c r="D27" i="3"/>
  <c r="H27" i="3"/>
  <c r="H8" i="3"/>
  <c r="H9" i="3" s="1"/>
  <c r="H154" i="3" l="1"/>
  <c r="D185" i="3"/>
  <c r="D249" i="3"/>
  <c r="D161" i="3"/>
  <c r="D112" i="3"/>
  <c r="D8" i="3"/>
  <c r="D5" i="3" s="1"/>
  <c r="D73" i="3"/>
  <c r="D79" i="3" s="1"/>
  <c r="D48" i="3"/>
  <c r="H45" i="3" s="1"/>
</calcChain>
</file>

<file path=xl/sharedStrings.xml><?xml version="1.0" encoding="utf-8"?>
<sst xmlns="http://schemas.openxmlformats.org/spreadsheetml/2006/main" count="802" uniqueCount="294">
  <si>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</si>
  <si>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</si>
  <si>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</si>
  <si>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</si>
  <si>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</si>
  <si>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</si>
  <si>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</si>
  <si>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</si>
  <si>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</si>
  <si>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</si>
  <si>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</si>
  <si>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</si>
  <si>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</si>
  <si>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</si>
  <si>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</si>
  <si>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</si>
  <si>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</si>
  <si>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</si>
  <si>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</si>
  <si>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</si>
  <si>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</si>
  <si>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</si>
  <si>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</si>
  <si>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</si>
  <si>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</si>
  <si>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</si>
  <si>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</si>
  <si>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</si>
  <si>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</si>
  <si>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Mar 20: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</si>
  <si>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</si>
  <si>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</si>
  <si>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</si>
  <si>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</si>
  <si>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</si>
  <si>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</si>
  <si>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In the Books of Ramesh Traders.Preparation of Journal entries for the year ended March 31st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</si>
  <si>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</si>
  <si>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</si>
  <si>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</si>
  <si>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</si>
  <si>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</si>
  <si>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</si>
  <si>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</si>
  <si>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</si>
  <si>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</si>
  <si>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 with cash and bank)</t>
  </si>
  <si>
    <t>Furniture A/c</t>
  </si>
  <si>
    <t xml:space="preserve">  To Bank A/c</t>
  </si>
  <si>
    <t>(Being purchased furniture through bank)</t>
  </si>
  <si>
    <t>Purchase A/c</t>
  </si>
  <si>
    <t xml:space="preserve">  To Sharma Traders A/c</t>
  </si>
  <si>
    <t>(Being purchased  goods from Sharma trader on credit)</t>
  </si>
  <si>
    <t xml:space="preserve">  To Cash A/c</t>
  </si>
  <si>
    <t>(Being purchased goods by cash)</t>
  </si>
  <si>
    <t xml:space="preserve">  To Sales A/c</t>
  </si>
  <si>
    <t>(Being sold goods for cash)</t>
  </si>
  <si>
    <t>Carriage Inward A/c</t>
  </si>
  <si>
    <t>(Being paid carriage inward)</t>
  </si>
  <si>
    <t>Kumar Stores A/c</t>
  </si>
  <si>
    <t>(Being sold goods for Kumar stores on credit)</t>
  </si>
  <si>
    <t>Wages A/c</t>
  </si>
  <si>
    <t>(Being paid wages)</t>
  </si>
  <si>
    <t>Sharma Traders A/c</t>
  </si>
  <si>
    <t xml:space="preserve">  To Purchase returns A/c</t>
  </si>
  <si>
    <t>(Being returned goods to Sharma Traders)</t>
  </si>
  <si>
    <t>Sales returns A/c</t>
  </si>
  <si>
    <t xml:space="preserve">  To Kumar Stores A/c</t>
  </si>
  <si>
    <t>(Being Kumar stores returned goods)</t>
  </si>
  <si>
    <t>Discount Allowed A/c</t>
  </si>
  <si>
    <t>(Being received cash from Kumar stores and discount allowed)</t>
  </si>
  <si>
    <t>Salaries A/c</t>
  </si>
  <si>
    <t>(Being paid salaries through bank)</t>
  </si>
  <si>
    <t>Rent A/c</t>
  </si>
  <si>
    <t>(Being paid office rent)</t>
  </si>
  <si>
    <t xml:space="preserve">  To Ravi &amp; Co A/c</t>
  </si>
  <si>
    <t>(Being purchased good on credit from Ravi &amp; Co)</t>
  </si>
  <si>
    <t xml:space="preserve">  To Discount received A/c</t>
  </si>
  <si>
    <t>(Being paid Sharma Traders through Bank and received discount)</t>
  </si>
  <si>
    <t>Suresh enterprise A/c</t>
  </si>
  <si>
    <t>(Being sold goods to Suresh enterprise on credit)</t>
  </si>
  <si>
    <t>Inscurance premium A/c</t>
  </si>
  <si>
    <t>(Being paid inscurance premium )</t>
  </si>
  <si>
    <t xml:space="preserve">  To Commissiom received A/c</t>
  </si>
  <si>
    <t>(Being received commission)</t>
  </si>
  <si>
    <t>Electricity charges A/c</t>
  </si>
  <si>
    <t>(Being paid electricity charges)</t>
  </si>
  <si>
    <t>Stationery A/c</t>
  </si>
  <si>
    <t>(Being purchased stationery by cash)</t>
  </si>
  <si>
    <t>Advertisment expenses A/c</t>
  </si>
  <si>
    <t>(Being paid advertisment expenses)</t>
  </si>
  <si>
    <t xml:space="preserve">Computer A/c </t>
  </si>
  <si>
    <t>(Being purchased computer through bank)</t>
  </si>
  <si>
    <t>Carriage Outward A/c</t>
  </si>
  <si>
    <t>(Being paid carriage outward)</t>
  </si>
  <si>
    <t>Audit fees A/c</t>
  </si>
  <si>
    <t>(Bein g paid audit fees)</t>
  </si>
  <si>
    <t xml:space="preserve">  To Suresh enterprise A/c</t>
  </si>
  <si>
    <t>(Being received cash from Suresh enterprise and discount allowed)</t>
  </si>
  <si>
    <t>Drawings A/c</t>
  </si>
  <si>
    <t>(Being withdrew cash for personal use)</t>
  </si>
  <si>
    <t>Mar 18: Received interest from bank ₹4,000.</t>
  </si>
  <si>
    <t xml:space="preserve">  To Mehta Traders A/c</t>
  </si>
  <si>
    <t>(Being purchased goods from Mehta Traders on Credit)</t>
  </si>
  <si>
    <t xml:space="preserve">  To Intrest received A/c</t>
  </si>
  <si>
    <t>(Being intrest received through bank)</t>
  </si>
  <si>
    <t>(being sold goods on cash)</t>
  </si>
  <si>
    <t>Dr.</t>
  </si>
  <si>
    <t>Cr.</t>
  </si>
  <si>
    <t>Capital A/c</t>
  </si>
  <si>
    <t>In the Books of Ramesh Traders.Preparation of Ledger accounts for the year ended 31st March 2026.</t>
  </si>
  <si>
    <t>J.F</t>
  </si>
  <si>
    <t>Amount₹</t>
  </si>
  <si>
    <t>By Cash A/c</t>
  </si>
  <si>
    <t>By Bank A/c</t>
  </si>
  <si>
    <t>To Balance C/d</t>
  </si>
  <si>
    <t>By Balance B/d</t>
  </si>
  <si>
    <t>To Capital A/c</t>
  </si>
  <si>
    <t>By Purchase A/c</t>
  </si>
  <si>
    <t>To Sales A/c</t>
  </si>
  <si>
    <t>By Carriage inward A/c</t>
  </si>
  <si>
    <t>By Wages A/c</t>
  </si>
  <si>
    <t>To Kumar Stores A/c</t>
  </si>
  <si>
    <t>By Rent A/c</t>
  </si>
  <si>
    <t>By Inscurance premium A/c</t>
  </si>
  <si>
    <t>To Commission received A/c</t>
  </si>
  <si>
    <t>By Electricity charges A/c</t>
  </si>
  <si>
    <t>By Stationery A/c</t>
  </si>
  <si>
    <t>By Advertisment expenses A/c</t>
  </si>
  <si>
    <t>By Carriage outward A/c</t>
  </si>
  <si>
    <t>By Audite fees A/c</t>
  </si>
  <si>
    <t>To Suresh enterprise A/c</t>
  </si>
  <si>
    <t>By Drawings A/c</t>
  </si>
  <si>
    <t>By Balance C /d</t>
  </si>
  <si>
    <t>To Balance B/d</t>
  </si>
  <si>
    <t>By Furniture A/c</t>
  </si>
  <si>
    <t>By Salaries A/c</t>
  </si>
  <si>
    <t>By Sharma Traders A/c</t>
  </si>
  <si>
    <t>By Computer A/c</t>
  </si>
  <si>
    <t>To Intrest received A/c</t>
  </si>
  <si>
    <t>To Bank A/c</t>
  </si>
  <si>
    <t>To Sharma Traders A/c</t>
  </si>
  <si>
    <t>To Cash A/c</t>
  </si>
  <si>
    <t>To Ravi &amp; Co A/c</t>
  </si>
  <si>
    <t>To Mehat Traders A/c</t>
  </si>
  <si>
    <t>To Purchase Returns A/c</t>
  </si>
  <si>
    <t>To Discount Received A/c</t>
  </si>
  <si>
    <t>Sales A/c</t>
  </si>
  <si>
    <t>By Kumar Stores A/c</t>
  </si>
  <si>
    <t>By Suresh enterprise A/c</t>
  </si>
  <si>
    <t>By Sales Returns A/c</t>
  </si>
  <si>
    <t>By Discount Allowed A/c</t>
  </si>
  <si>
    <t>Purchase Returns A/c</t>
  </si>
  <si>
    <t>Sales Returns A/c</t>
  </si>
  <si>
    <t>To Suresh Enterprise A/c</t>
  </si>
  <si>
    <t>Ravi &amp; Co A/c</t>
  </si>
  <si>
    <t>Discount Received A/c</t>
  </si>
  <si>
    <t>Suresh Enterprise A/c</t>
  </si>
  <si>
    <t>Inscurance Premium A/c</t>
  </si>
  <si>
    <t>Commission Received A/c</t>
  </si>
  <si>
    <t>By Cash  A/c</t>
  </si>
  <si>
    <t>Electricity Charges A/c</t>
  </si>
  <si>
    <t>Advertising Expenses A/c</t>
  </si>
  <si>
    <t>Computer A/c</t>
  </si>
  <si>
    <t>Audit Fees A/c</t>
  </si>
  <si>
    <t>Intrest Received A/c</t>
  </si>
  <si>
    <t>Mehta Traders A/c</t>
  </si>
  <si>
    <t>By Bank  A/c</t>
  </si>
  <si>
    <t>S.No</t>
  </si>
  <si>
    <t>-</t>
  </si>
  <si>
    <t>Total</t>
  </si>
  <si>
    <t>In the Books of Ramesh Traders.Preparation of Trading Account for the year ended March 31st 2026.</t>
  </si>
  <si>
    <t>To Opening stock</t>
  </si>
  <si>
    <t xml:space="preserve">To Purchase </t>
  </si>
  <si>
    <t>Less:Purchase returns</t>
  </si>
  <si>
    <t>To Direct Expenses:</t>
  </si>
  <si>
    <t>To Carriage inward</t>
  </si>
  <si>
    <t xml:space="preserve">To Wages </t>
  </si>
  <si>
    <t>By Sales</t>
  </si>
  <si>
    <t>Less: Sales returns</t>
  </si>
  <si>
    <t>By Closing stock</t>
  </si>
  <si>
    <t>To Gross Profit C/d</t>
  </si>
  <si>
    <t>To Discount Allowed</t>
  </si>
  <si>
    <t xml:space="preserve">To Salaries </t>
  </si>
  <si>
    <t>To Rent</t>
  </si>
  <si>
    <t>To Inscurance Premium</t>
  </si>
  <si>
    <t>Less:Prepaid inscurance</t>
  </si>
  <si>
    <t>To Electricity charges</t>
  </si>
  <si>
    <t>To Satationery</t>
  </si>
  <si>
    <t>To Advertising expenses</t>
  </si>
  <si>
    <t>To Carriage outwards</t>
  </si>
  <si>
    <t>To Audit fees</t>
  </si>
  <si>
    <t>Furniture</t>
  </si>
  <si>
    <t>Depreciation on furniture 10%</t>
  </si>
  <si>
    <t>Computer</t>
  </si>
  <si>
    <t>Depreciation on Computer 20%</t>
  </si>
  <si>
    <t>To Depreciation on furniture 10%</t>
  </si>
  <si>
    <t>To Depreciation on Computer 20%</t>
  </si>
  <si>
    <t>By Gross Profit B/d</t>
  </si>
  <si>
    <t>By Discount Received</t>
  </si>
  <si>
    <t xml:space="preserve">By Commission Received </t>
  </si>
  <si>
    <t>By Intrest Received</t>
  </si>
  <si>
    <t>To Net Profit</t>
  </si>
  <si>
    <t>Liabilities</t>
  </si>
  <si>
    <t>Assets</t>
  </si>
  <si>
    <t>In the Books of Ramesh Traders.Preparation of Balance Sheet for the year ended March 31st 2026.</t>
  </si>
  <si>
    <t>In the Books of Ramesh Traders.Preparation of Profit &amp; Loss Account for the year ended March 31st 2026.</t>
  </si>
  <si>
    <t>Capital</t>
  </si>
  <si>
    <t>Less:Drawings</t>
  </si>
  <si>
    <t>Add:Net profit</t>
  </si>
  <si>
    <t>Current Liabilities:</t>
  </si>
  <si>
    <t>Outstanding salary</t>
  </si>
  <si>
    <t>Add:Outstanding salary</t>
  </si>
  <si>
    <t>Mehta Traders (Creditor)</t>
  </si>
  <si>
    <t>Ravi &amp; Co (Creditor)</t>
  </si>
  <si>
    <t>Current Assets:</t>
  </si>
  <si>
    <t>Cash</t>
  </si>
  <si>
    <t>Bank</t>
  </si>
  <si>
    <t>Prepaid Inscurance</t>
  </si>
  <si>
    <t>Closing stock</t>
  </si>
  <si>
    <t>Fixed Assets:</t>
  </si>
  <si>
    <t>Less:Depreciation 10%</t>
  </si>
  <si>
    <t>Less:Depreciation 20%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</si>
  <si>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</si>
  <si>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</si>
  <si>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</si>
  <si>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</si>
  <si>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</si>
  <si>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</si>
  <si>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Times New Roman"/>
        <family val="1"/>
      </rPr>
      <t>2:1.</t>
    </r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</si>
  <si>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</si>
  <si>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</si>
  <si>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</si>
  <si>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</si>
  <si>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</si>
  <si>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</si>
  <si>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</si>
  <si>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Times New Roman"/>
        <family val="1"/>
      </rPr>
      <t>1:1.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</si>
  <si>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</si>
  <si>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</si>
  <si>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</si>
  <si>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</si>
  <si>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</si>
  <si>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</si>
  <si>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Times New Roman"/>
        <family val="1"/>
      </rPr>
      <t>0.5:1.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</si>
  <si>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</si>
  <si>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</si>
  <si>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</si>
  <si>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</si>
  <si>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</si>
  <si>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</si>
  <si>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Times New Roman"/>
        <family val="1"/>
      </rPr>
      <t>&lt; 1.0.</t>
    </r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</si>
  <si>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</si>
  <si>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</si>
  <si>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</si>
  <si>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</si>
  <si>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</si>
  <si>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</si>
  <si>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Times New Roman"/>
        <family val="1"/>
      </rPr>
      <t>&lt;50%.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</si>
  <si>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</si>
  <si>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</si>
  <si>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</si>
  <si>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</si>
  <si>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</si>
  <si>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</si>
  <si>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Times New Roman"/>
        <family val="1"/>
      </rPr>
      <t xml:space="preserve"> &gt;2 times.</t>
    </r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</si>
  <si>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</si>
  <si>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</si>
  <si>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</si>
  <si>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</si>
  <si>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</si>
  <si>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</si>
  <si>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</si>
  <si>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Times New Roman"/>
        <family val="1"/>
      </rPr>
      <t>5 - 10</t>
    </r>
    <r>
      <rPr>
        <sz val="11"/>
        <color theme="1"/>
        <rFont val="Times New Roman"/>
        <family val="1"/>
      </rPr>
      <t xml:space="preserve"> times.</t>
    </r>
  </si>
  <si>
    <t>Average Inventory</t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</si>
  <si>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</si>
  <si>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</si>
  <si>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</si>
  <si>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</si>
  <si>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</si>
  <si>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</si>
  <si>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Times New Roman"/>
        <family val="1"/>
      </rPr>
      <t>2 - 4.</t>
    </r>
  </si>
  <si>
    <t>Current Assets - Current Liabilities.</t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</si>
  <si>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</si>
  <si>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</si>
  <si>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</si>
  <si>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r>
      <t>The firm has</t>
    </r>
    <r>
      <rPr>
        <b/>
        <sz val="11"/>
        <color theme="1"/>
        <rFont val="Times New Roman"/>
        <family val="1"/>
      </rPr>
      <t xml:space="preserve"> ₹5.59</t>
    </r>
    <r>
      <rPr>
        <sz val="11"/>
        <color theme="1"/>
        <rFont val="Times New Roman"/>
        <family val="1"/>
      </rPr>
      <t xml:space="preserve"> of cash and cash equivalents for every ₹1 of current liabilities.</t>
    </r>
  </si>
  <si>
    <r>
      <t xml:space="preserve">The firm has </t>
    </r>
    <r>
      <rPr>
        <b/>
        <sz val="11"/>
        <color theme="1"/>
        <rFont val="Times New Roman"/>
        <family val="1"/>
      </rPr>
      <t>₹0.1781</t>
    </r>
    <r>
      <rPr>
        <sz val="11"/>
        <color theme="1"/>
        <rFont val="Times New Roman"/>
        <family val="1"/>
      </rPr>
      <t xml:space="preserve"> of debt for every ₹1 of shareholder's equity.</t>
    </r>
  </si>
  <si>
    <r>
      <t xml:space="preserve">The firm has </t>
    </r>
    <r>
      <rPr>
        <b/>
        <sz val="11"/>
        <color theme="1"/>
        <rFont val="Times New Roman"/>
        <family val="1"/>
      </rPr>
      <t>₹0.1511</t>
    </r>
    <r>
      <rPr>
        <sz val="11"/>
        <color theme="1"/>
        <rFont val="Times New Roman"/>
        <family val="1"/>
      </rPr>
      <t xml:space="preserve"> of debt for every ₹1 of shareholder's equity.</t>
    </r>
  </si>
  <si>
    <r>
      <t>The firm generates</t>
    </r>
    <r>
      <rPr>
        <b/>
        <sz val="11"/>
        <color theme="1"/>
        <rFont val="Times New Roman"/>
        <family val="1"/>
      </rPr>
      <t xml:space="preserve"> ₹0.426</t>
    </r>
    <r>
      <rPr>
        <sz val="11"/>
        <color theme="1"/>
        <rFont val="Times New Roman"/>
        <family val="1"/>
      </rPr>
      <t xml:space="preserve"> of net sales for every ₹1 invested in total assets.</t>
    </r>
  </si>
  <si>
    <r>
      <t xml:space="preserve">The inventory turnover ratio is </t>
    </r>
    <r>
      <rPr>
        <b/>
        <sz val="11"/>
        <color theme="1"/>
        <rFont val="Times New Roman"/>
        <family val="1"/>
      </rPr>
      <t>4.90</t>
    </r>
    <r>
      <rPr>
        <sz val="11"/>
        <color theme="1"/>
        <rFont val="Times New Roman"/>
        <family val="1"/>
      </rPr>
      <t xml:space="preserve"> times, which is below the ideal range of 5 - 10 tmies.</t>
    </r>
  </si>
  <si>
    <r>
      <t xml:space="preserve">The working Capital Turnover Ratio of </t>
    </r>
    <r>
      <rPr>
        <b/>
        <sz val="11"/>
        <color theme="1"/>
        <rFont val="Times New Roman"/>
        <family val="1"/>
      </rPr>
      <t xml:space="preserve">0.614 </t>
    </r>
    <r>
      <rPr>
        <sz val="11"/>
        <color theme="1"/>
        <rFont val="Times New Roman"/>
        <family val="1"/>
      </rPr>
      <t>times is below the ideal range of 2 - 4 times.</t>
    </r>
  </si>
  <si>
    <r>
      <t xml:space="preserve">The firm has </t>
    </r>
    <r>
      <rPr>
        <b/>
        <sz val="11"/>
        <color theme="1"/>
        <rFont val="Times New Roman"/>
        <family val="1"/>
      </rPr>
      <t xml:space="preserve">₹6.25 </t>
    </r>
    <r>
      <rPr>
        <sz val="11"/>
        <color theme="1"/>
        <rFont val="Times New Roman"/>
        <family val="1"/>
      </rPr>
      <t>of current assets for every ₹1 of current liabilities.</t>
    </r>
  </si>
  <si>
    <r>
      <t>The firm has</t>
    </r>
    <r>
      <rPr>
        <b/>
        <sz val="11"/>
        <color theme="1"/>
        <rFont val="Times New Roman"/>
        <family val="1"/>
      </rPr>
      <t xml:space="preserve"> ₹5.59</t>
    </r>
    <r>
      <rPr>
        <sz val="11"/>
        <color theme="1"/>
        <rFont val="Times New Roman"/>
        <family val="1"/>
      </rPr>
      <t xml:space="preserve"> of quick (Liquid) assets for every ₹1 of current Liabilities.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</si>
</sst>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2" tint="-0.89999084444715716"/>
      <name val="Times New Roman"/>
      <family val="1"/>
    </font>
    <font>
      <b/>
      <i/>
      <sz val="11"/>
      <color theme="3" tint="9.9978637043366805E-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/>
    <xf numFmtId="164" fontId="0" fillId="0" borderId="0" xfId="1" applyNumberFormat="1" applyFont="1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4" fillId="0" borderId="1" xfId="1" applyNumberFormat="1" applyFont="1" applyBorder="1" applyAlignment="1">
      <alignment horizontal="center"/>
    </xf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164" fontId="4" fillId="0" borderId="0" xfId="1" applyNumberFormat="1" applyFont="1" applyAlignment="1">
      <alignment horizontal="right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2" fillId="0" borderId="1" xfId="0" applyFont="1" applyBorder="1"/>
    <xf numFmtId="164" fontId="1" fillId="0" borderId="1" xfId="1" applyNumberFormat="1" applyFont="1" applyBorder="1"/>
    <xf numFmtId="14" fontId="2" fillId="0" borderId="1" xfId="0" applyNumberFormat="1" applyFont="1" applyBorder="1"/>
    <xf numFmtId="164" fontId="1" fillId="0" borderId="0" xfId="1" applyNumberFormat="1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164" fontId="4" fillId="0" borderId="0" xfId="1" applyNumberFormat="1" applyFont="1"/>
    <xf numFmtId="164" fontId="0" fillId="0" borderId="12" xfId="1" applyNumberFormat="1" applyFont="1" applyBorder="1"/>
    <xf numFmtId="164" fontId="0" fillId="0" borderId="0" xfId="0" applyNumberFormat="1"/>
    <xf numFmtId="164" fontId="0" fillId="0" borderId="14" xfId="1" applyNumberFormat="1" applyFont="1" applyBorder="1"/>
    <xf numFmtId="164" fontId="0" fillId="0" borderId="15" xfId="1" applyNumberFormat="1" applyFont="1" applyBorder="1"/>
    <xf numFmtId="164" fontId="0" fillId="0" borderId="16" xfId="1" applyNumberFormat="1" applyFont="1" applyBorder="1"/>
    <xf numFmtId="164" fontId="4" fillId="0" borderId="17" xfId="1" applyNumberFormat="1" applyFont="1" applyBorder="1" applyAlignment="1">
      <alignment horizontal="center"/>
    </xf>
    <xf numFmtId="164" fontId="2" fillId="0" borderId="14" xfId="1" applyNumberFormat="1" applyFont="1" applyBorder="1"/>
    <xf numFmtId="164" fontId="0" fillId="0" borderId="13" xfId="1" applyNumberFormat="1" applyFont="1" applyBorder="1"/>
    <xf numFmtId="0" fontId="2" fillId="0" borderId="10" xfId="0" applyFont="1" applyBorder="1"/>
    <xf numFmtId="164" fontId="2" fillId="0" borderId="6" xfId="1" applyNumberFormat="1" applyFont="1" applyBorder="1"/>
    <xf numFmtId="164" fontId="2" fillId="0" borderId="0" xfId="1" applyNumberFormat="1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8" fillId="2" borderId="10" xfId="0" applyFont="1" applyFill="1" applyBorder="1"/>
    <xf numFmtId="0" fontId="5" fillId="2" borderId="14" xfId="0" applyFont="1" applyFill="1" applyBorder="1"/>
    <xf numFmtId="0" fontId="5" fillId="2" borderId="9" xfId="0" applyFont="1" applyFill="1" applyBorder="1"/>
    <xf numFmtId="0" fontId="8" fillId="2" borderId="9" xfId="0" applyFont="1" applyFill="1" applyBorder="1"/>
    <xf numFmtId="0" fontId="8" fillId="2" borderId="14" xfId="0" applyFont="1" applyFill="1" applyBorder="1" applyAlignment="1">
      <alignment horizontal="right"/>
    </xf>
    <xf numFmtId="164" fontId="8" fillId="2" borderId="9" xfId="1" applyNumberFormat="1" applyFont="1" applyFill="1" applyBorder="1"/>
    <xf numFmtId="0" fontId="8" fillId="2" borderId="9" xfId="0" applyFont="1" applyFill="1" applyBorder="1" applyAlignment="1">
      <alignment wrapText="1"/>
    </xf>
    <xf numFmtId="43" fontId="5" fillId="2" borderId="9" xfId="1" applyFont="1" applyFill="1" applyBorder="1"/>
    <xf numFmtId="0" fontId="8" fillId="2" borderId="1" xfId="0" applyFont="1" applyFill="1" applyBorder="1"/>
    <xf numFmtId="164" fontId="8" fillId="2" borderId="1" xfId="1" applyNumberFormat="1" applyFont="1" applyFill="1" applyBorder="1"/>
    <xf numFmtId="164" fontId="5" fillId="2" borderId="9" xfId="1" applyNumberFormat="1" applyFont="1" applyFill="1" applyBorder="1" applyAlignment="1">
      <alignment wrapText="1"/>
    </xf>
    <xf numFmtId="0" fontId="8" fillId="2" borderId="14" xfId="0" applyFont="1" applyFill="1" applyBorder="1"/>
    <xf numFmtId="43" fontId="8" fillId="2" borderId="1" xfId="1" applyFont="1" applyFill="1" applyBorder="1"/>
    <xf numFmtId="164" fontId="5" fillId="2" borderId="9" xfId="1" applyNumberFormat="1" applyFont="1" applyFill="1" applyBorder="1"/>
    <xf numFmtId="0" fontId="8" fillId="2" borderId="1" xfId="0" applyFont="1" applyFill="1" applyBorder="1" applyAlignment="1">
      <alignment horizontal="right"/>
    </xf>
    <xf numFmtId="0" fontId="5" fillId="2" borderId="14" xfId="0" applyFont="1" applyFill="1" applyBorder="1" applyAlignment="1">
      <alignment horizontal="left"/>
    </xf>
    <xf numFmtId="165" fontId="5" fillId="2" borderId="9" xfId="1" applyNumberFormat="1" applyFont="1" applyFill="1" applyBorder="1"/>
    <xf numFmtId="0" fontId="8" fillId="2" borderId="1" xfId="0" applyFont="1" applyFill="1" applyBorder="1" applyAlignment="1">
      <alignment horizontal="left"/>
    </xf>
    <xf numFmtId="166" fontId="5" fillId="2" borderId="9" xfId="1" applyNumberFormat="1" applyFont="1" applyFill="1" applyBorder="1"/>
    <xf numFmtId="164" fontId="5" fillId="2" borderId="9" xfId="1" applyNumberFormat="1" applyFont="1" applyFill="1" applyBorder="1" applyAlignment="1"/>
    <xf numFmtId="0" fontId="8" fillId="2" borderId="15" xfId="0" applyFont="1" applyFill="1" applyBorder="1" applyAlignment="1">
      <alignment horizontal="right"/>
    </xf>
    <xf numFmtId="166" fontId="5" fillId="2" borderId="10" xfId="1" applyNumberFormat="1" applyFont="1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22AC-BC4F-4A2C-B244-CC5836DAE369}">
  <dimension ref="A1:B38"/>
  <sheetViews>
    <sheetView workbookViewId="0">
      <selection activeCell="B16" sqref="B16"/>
    </sheetView>
  </sheetViews>
  <sheetFormatPr defaultRowHeight="14.4" x14ac:dyDescent="0.3"/>
  <cols>
    <col min="2" max="2" width="82.5546875" bestFit="1" customWidth="1"/>
  </cols>
  <sheetData>
    <row r="1" spans="1:2" x14ac:dyDescent="0.3"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101</v>
      </c>
    </row>
    <row r="31" spans="1:2" x14ac:dyDescent="0.3">
      <c r="A31">
        <v>30</v>
      </c>
      <c r="B31" t="s">
        <v>29</v>
      </c>
    </row>
    <row r="33" spans="2:2" x14ac:dyDescent="0.3">
      <c r="B33" t="s">
        <v>30</v>
      </c>
    </row>
    <row r="34" spans="2:2" x14ac:dyDescent="0.3">
      <c r="B34" t="s">
        <v>31</v>
      </c>
    </row>
    <row r="35" spans="2:2" x14ac:dyDescent="0.3">
      <c r="B35" t="s">
        <v>32</v>
      </c>
    </row>
    <row r="36" spans="2:2" x14ac:dyDescent="0.3">
      <c r="B36" t="s">
        <v>33</v>
      </c>
    </row>
    <row r="37" spans="2:2" x14ac:dyDescent="0.3">
      <c r="B37" t="s">
        <v>34</v>
      </c>
    </row>
    <row r="38" spans="2:2" x14ac:dyDescent="0.3">
      <c r="B3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2F60-1450-475E-BAFF-233F32C0D18D}">
  <dimension ref="A1:F97"/>
  <sheetViews>
    <sheetView workbookViewId="0">
      <selection sqref="A1:F1"/>
    </sheetView>
  </sheetViews>
  <sheetFormatPr defaultRowHeight="14.4" x14ac:dyDescent="0.3"/>
  <cols>
    <col min="1" max="1" width="11.77734375" customWidth="1"/>
    <col min="2" max="2" width="54.88671875" bestFit="1" customWidth="1"/>
    <col min="3" max="3" width="4.6640625" customWidth="1"/>
    <col min="4" max="4" width="4.21875" customWidth="1"/>
    <col min="5" max="6" width="17" style="2" customWidth="1"/>
  </cols>
  <sheetData>
    <row r="1" spans="1:6" ht="42.6" customHeight="1" x14ac:dyDescent="0.3">
      <c r="A1" s="46" t="s">
        <v>36</v>
      </c>
      <c r="B1" s="46"/>
      <c r="C1" s="46"/>
      <c r="D1" s="46"/>
      <c r="E1" s="46"/>
      <c r="F1" s="46"/>
    </row>
    <row r="3" spans="1:6" ht="15.6" x14ac:dyDescent="0.3">
      <c r="A3" s="9" t="s">
        <v>37</v>
      </c>
      <c r="B3" s="12" t="s">
        <v>38</v>
      </c>
      <c r="C3" s="10"/>
      <c r="D3" s="12" t="s">
        <v>39</v>
      </c>
      <c r="E3" s="11" t="s">
        <v>40</v>
      </c>
      <c r="F3" s="18" t="s">
        <v>41</v>
      </c>
    </row>
    <row r="4" spans="1:6" x14ac:dyDescent="0.3">
      <c r="A4" s="3">
        <v>45748</v>
      </c>
      <c r="B4" s="13" t="s">
        <v>42</v>
      </c>
      <c r="C4" t="s">
        <v>43</v>
      </c>
      <c r="D4" s="13"/>
      <c r="E4" s="4">
        <v>500000</v>
      </c>
      <c r="F4" s="16"/>
    </row>
    <row r="5" spans="1:6" x14ac:dyDescent="0.3">
      <c r="A5" s="5"/>
      <c r="B5" s="13" t="s">
        <v>44</v>
      </c>
      <c r="C5" t="s">
        <v>43</v>
      </c>
      <c r="D5" s="13"/>
      <c r="E5" s="4">
        <v>1000000</v>
      </c>
      <c r="F5" s="16"/>
    </row>
    <row r="6" spans="1:6" x14ac:dyDescent="0.3">
      <c r="A6" s="5"/>
      <c r="B6" s="13" t="s">
        <v>45</v>
      </c>
      <c r="D6" s="13"/>
      <c r="E6" s="4"/>
      <c r="F6" s="16">
        <v>1500000</v>
      </c>
    </row>
    <row r="7" spans="1:6" x14ac:dyDescent="0.3">
      <c r="A7" s="5"/>
      <c r="B7" s="13" t="s">
        <v>46</v>
      </c>
      <c r="D7" s="13"/>
      <c r="E7" s="4"/>
      <c r="F7" s="16"/>
    </row>
    <row r="8" spans="1:6" x14ac:dyDescent="0.3">
      <c r="A8" s="19">
        <v>45752</v>
      </c>
      <c r="B8" s="20" t="s">
        <v>47</v>
      </c>
      <c r="C8" s="21" t="s">
        <v>43</v>
      </c>
      <c r="D8" s="20"/>
      <c r="E8" s="22">
        <v>80000</v>
      </c>
      <c r="F8" s="15"/>
    </row>
    <row r="9" spans="1:6" x14ac:dyDescent="0.3">
      <c r="A9" s="5"/>
      <c r="B9" s="13" t="s">
        <v>48</v>
      </c>
      <c r="D9" s="13"/>
      <c r="E9" s="4"/>
      <c r="F9" s="16">
        <v>80000</v>
      </c>
    </row>
    <row r="10" spans="1:6" x14ac:dyDescent="0.3">
      <c r="A10" s="6"/>
      <c r="B10" s="14" t="s">
        <v>49</v>
      </c>
      <c r="C10" s="7"/>
      <c r="D10" s="14"/>
      <c r="E10" s="8"/>
      <c r="F10" s="17"/>
    </row>
    <row r="11" spans="1:6" x14ac:dyDescent="0.3">
      <c r="A11" s="3">
        <v>45762</v>
      </c>
      <c r="B11" s="13" t="s">
        <v>50</v>
      </c>
      <c r="C11" t="s">
        <v>43</v>
      </c>
      <c r="D11" s="13"/>
      <c r="E11" s="4">
        <v>250000</v>
      </c>
      <c r="F11" s="16"/>
    </row>
    <row r="12" spans="1:6" x14ac:dyDescent="0.3">
      <c r="A12" s="5"/>
      <c r="B12" s="13" t="s">
        <v>51</v>
      </c>
      <c r="D12" s="13"/>
      <c r="E12" s="4"/>
      <c r="F12" s="16">
        <v>250000</v>
      </c>
    </row>
    <row r="13" spans="1:6" x14ac:dyDescent="0.3">
      <c r="A13" s="5"/>
      <c r="B13" s="13" t="s">
        <v>52</v>
      </c>
      <c r="D13" s="13"/>
      <c r="E13" s="4"/>
      <c r="F13" s="16"/>
    </row>
    <row r="14" spans="1:6" x14ac:dyDescent="0.3">
      <c r="A14" s="19">
        <v>45782</v>
      </c>
      <c r="B14" s="20" t="s">
        <v>50</v>
      </c>
      <c r="C14" s="21" t="s">
        <v>43</v>
      </c>
      <c r="D14" s="20"/>
      <c r="E14" s="22">
        <v>120000</v>
      </c>
      <c r="F14" s="15"/>
    </row>
    <row r="15" spans="1:6" x14ac:dyDescent="0.3">
      <c r="A15" s="5"/>
      <c r="B15" s="13" t="s">
        <v>53</v>
      </c>
      <c r="D15" s="13"/>
      <c r="E15" s="4"/>
      <c r="F15" s="16">
        <v>120000</v>
      </c>
    </row>
    <row r="16" spans="1:6" x14ac:dyDescent="0.3">
      <c r="A16" s="6"/>
      <c r="B16" s="14" t="s">
        <v>54</v>
      </c>
      <c r="C16" s="7"/>
      <c r="D16" s="14"/>
      <c r="E16" s="8"/>
      <c r="F16" s="17"/>
    </row>
    <row r="17" spans="1:6" x14ac:dyDescent="0.3">
      <c r="A17" s="3">
        <v>45789</v>
      </c>
      <c r="B17" s="13" t="s">
        <v>42</v>
      </c>
      <c r="C17" t="s">
        <v>43</v>
      </c>
      <c r="D17" s="13"/>
      <c r="E17" s="4">
        <v>200000</v>
      </c>
      <c r="F17" s="16"/>
    </row>
    <row r="18" spans="1:6" x14ac:dyDescent="0.3">
      <c r="A18" s="5"/>
      <c r="B18" s="13" t="s">
        <v>55</v>
      </c>
      <c r="D18" s="13"/>
      <c r="E18" s="4"/>
      <c r="F18" s="16">
        <v>200000</v>
      </c>
    </row>
    <row r="19" spans="1:6" x14ac:dyDescent="0.3">
      <c r="A19" s="5"/>
      <c r="B19" s="13" t="s">
        <v>56</v>
      </c>
      <c r="D19" s="13"/>
      <c r="E19" s="4"/>
      <c r="F19" s="16"/>
    </row>
    <row r="20" spans="1:6" x14ac:dyDescent="0.3">
      <c r="A20" s="19">
        <v>45797</v>
      </c>
      <c r="B20" s="20" t="s">
        <v>57</v>
      </c>
      <c r="C20" s="21" t="s">
        <v>43</v>
      </c>
      <c r="D20" s="20"/>
      <c r="E20" s="22">
        <v>10000</v>
      </c>
      <c r="F20" s="15"/>
    </row>
    <row r="21" spans="1:6" x14ac:dyDescent="0.3">
      <c r="A21" s="5"/>
      <c r="B21" s="13" t="s">
        <v>53</v>
      </c>
      <c r="D21" s="13"/>
      <c r="E21" s="4"/>
      <c r="F21" s="16">
        <v>10000</v>
      </c>
    </row>
    <row r="22" spans="1:6" x14ac:dyDescent="0.3">
      <c r="A22" s="6"/>
      <c r="B22" s="14" t="s">
        <v>58</v>
      </c>
      <c r="C22" s="7"/>
      <c r="D22" s="14"/>
      <c r="E22" s="8"/>
      <c r="F22" s="17"/>
    </row>
    <row r="23" spans="1:6" x14ac:dyDescent="0.3">
      <c r="A23" s="3">
        <v>45816</v>
      </c>
      <c r="B23" s="13" t="s">
        <v>59</v>
      </c>
      <c r="C23" t="s">
        <v>43</v>
      </c>
      <c r="D23" s="13"/>
      <c r="E23" s="4">
        <v>220000</v>
      </c>
      <c r="F23" s="16"/>
    </row>
    <row r="24" spans="1:6" x14ac:dyDescent="0.3">
      <c r="A24" s="5"/>
      <c r="B24" s="13" t="s">
        <v>55</v>
      </c>
      <c r="D24" s="13"/>
      <c r="E24" s="4"/>
      <c r="F24" s="16">
        <v>220000</v>
      </c>
    </row>
    <row r="25" spans="1:6" x14ac:dyDescent="0.3">
      <c r="A25" s="5"/>
      <c r="B25" s="13" t="s">
        <v>60</v>
      </c>
      <c r="D25" s="13"/>
      <c r="E25" s="4"/>
      <c r="F25" s="16"/>
    </row>
    <row r="26" spans="1:6" x14ac:dyDescent="0.3">
      <c r="A26" s="19">
        <v>45826</v>
      </c>
      <c r="B26" s="20" t="s">
        <v>61</v>
      </c>
      <c r="C26" s="21" t="s">
        <v>43</v>
      </c>
      <c r="D26" s="20"/>
      <c r="E26" s="22">
        <v>25000</v>
      </c>
      <c r="F26" s="15"/>
    </row>
    <row r="27" spans="1:6" x14ac:dyDescent="0.3">
      <c r="A27" s="5"/>
      <c r="B27" s="13" t="s">
        <v>53</v>
      </c>
      <c r="D27" s="13"/>
      <c r="E27" s="4"/>
      <c r="F27" s="16">
        <v>25000</v>
      </c>
    </row>
    <row r="28" spans="1:6" x14ac:dyDescent="0.3">
      <c r="A28" s="6"/>
      <c r="B28" s="14" t="s">
        <v>62</v>
      </c>
      <c r="C28" s="7"/>
      <c r="D28" s="14"/>
      <c r="E28" s="8"/>
      <c r="F28" s="17"/>
    </row>
    <row r="29" spans="1:6" x14ac:dyDescent="0.3">
      <c r="A29" s="3">
        <v>45836</v>
      </c>
      <c r="B29" s="13" t="s">
        <v>63</v>
      </c>
      <c r="C29" t="s">
        <v>43</v>
      </c>
      <c r="D29" s="13"/>
      <c r="E29" s="4">
        <v>15000</v>
      </c>
      <c r="F29" s="16"/>
    </row>
    <row r="30" spans="1:6" x14ac:dyDescent="0.3">
      <c r="A30" s="5"/>
      <c r="B30" s="13" t="s">
        <v>64</v>
      </c>
      <c r="D30" s="13"/>
      <c r="E30" s="4"/>
      <c r="F30" s="16">
        <v>15000</v>
      </c>
    </row>
    <row r="31" spans="1:6" x14ac:dyDescent="0.3">
      <c r="A31" s="5"/>
      <c r="B31" s="13" t="s">
        <v>65</v>
      </c>
      <c r="D31" s="13"/>
      <c r="E31" s="4"/>
      <c r="F31" s="16"/>
    </row>
    <row r="32" spans="1:6" x14ac:dyDescent="0.3">
      <c r="A32" s="19">
        <v>45843</v>
      </c>
      <c r="B32" s="20" t="s">
        <v>66</v>
      </c>
      <c r="C32" s="21" t="s">
        <v>43</v>
      </c>
      <c r="D32" s="20"/>
      <c r="E32" s="22">
        <v>10000</v>
      </c>
      <c r="F32" s="15"/>
    </row>
    <row r="33" spans="1:6" x14ac:dyDescent="0.3">
      <c r="A33" s="5"/>
      <c r="B33" s="13" t="s">
        <v>67</v>
      </c>
      <c r="D33" s="13"/>
      <c r="E33" s="4"/>
      <c r="F33" s="16">
        <v>10000</v>
      </c>
    </row>
    <row r="34" spans="1:6" x14ac:dyDescent="0.3">
      <c r="A34" s="6"/>
      <c r="B34" s="14" t="s">
        <v>68</v>
      </c>
      <c r="C34" s="7"/>
      <c r="D34" s="14"/>
      <c r="E34" s="8"/>
      <c r="F34" s="17"/>
    </row>
    <row r="35" spans="1:6" x14ac:dyDescent="0.3">
      <c r="A35" s="3">
        <v>45866</v>
      </c>
      <c r="B35" s="13" t="s">
        <v>42</v>
      </c>
      <c r="C35" t="s">
        <v>43</v>
      </c>
      <c r="D35" s="13"/>
      <c r="E35" s="4">
        <v>200000</v>
      </c>
      <c r="F35" s="16"/>
    </row>
    <row r="36" spans="1:6" x14ac:dyDescent="0.3">
      <c r="A36" s="5"/>
      <c r="B36" s="13" t="s">
        <v>69</v>
      </c>
      <c r="C36" t="s">
        <v>43</v>
      </c>
      <c r="D36" s="13"/>
      <c r="E36" s="4">
        <v>10000</v>
      </c>
      <c r="F36" s="16"/>
    </row>
    <row r="37" spans="1:6" x14ac:dyDescent="0.3">
      <c r="A37" s="5"/>
      <c r="B37" s="13" t="s">
        <v>67</v>
      </c>
      <c r="D37" s="13"/>
      <c r="E37" s="4"/>
      <c r="F37" s="16">
        <v>210000</v>
      </c>
    </row>
    <row r="38" spans="1:6" x14ac:dyDescent="0.3">
      <c r="A38" s="5"/>
      <c r="B38" s="13" t="s">
        <v>70</v>
      </c>
      <c r="D38" s="13"/>
      <c r="E38" s="4"/>
      <c r="F38" s="16"/>
    </row>
    <row r="39" spans="1:6" x14ac:dyDescent="0.3">
      <c r="A39" s="19">
        <v>45887</v>
      </c>
      <c r="B39" s="20" t="s">
        <v>71</v>
      </c>
      <c r="C39" s="21" t="s">
        <v>43</v>
      </c>
      <c r="D39" s="20"/>
      <c r="E39" s="22">
        <v>35000</v>
      </c>
      <c r="F39" s="15"/>
    </row>
    <row r="40" spans="1:6" x14ac:dyDescent="0.3">
      <c r="A40" s="5"/>
      <c r="B40" s="13" t="s">
        <v>48</v>
      </c>
      <c r="D40" s="13"/>
      <c r="E40" s="4"/>
      <c r="F40" s="16">
        <v>35000</v>
      </c>
    </row>
    <row r="41" spans="1:6" x14ac:dyDescent="0.3">
      <c r="A41" s="6"/>
      <c r="B41" s="14" t="s">
        <v>72</v>
      </c>
      <c r="C41" s="7"/>
      <c r="D41" s="14"/>
      <c r="E41" s="8"/>
      <c r="F41" s="17"/>
    </row>
    <row r="42" spans="1:6" x14ac:dyDescent="0.3">
      <c r="A42" s="3">
        <v>45894</v>
      </c>
      <c r="B42" s="13" t="s">
        <v>73</v>
      </c>
      <c r="C42" t="s">
        <v>43</v>
      </c>
      <c r="D42" s="13"/>
      <c r="E42" s="4">
        <v>30000</v>
      </c>
      <c r="F42" s="16"/>
    </row>
    <row r="43" spans="1:6" x14ac:dyDescent="0.3">
      <c r="A43" s="5"/>
      <c r="B43" s="13" t="s">
        <v>53</v>
      </c>
      <c r="D43" s="13"/>
      <c r="E43" s="4"/>
      <c r="F43" s="16">
        <v>30000</v>
      </c>
    </row>
    <row r="44" spans="1:6" x14ac:dyDescent="0.3">
      <c r="A44" s="5"/>
      <c r="B44" s="13" t="s">
        <v>74</v>
      </c>
      <c r="D44" s="13"/>
      <c r="E44" s="4"/>
      <c r="F44" s="16"/>
    </row>
    <row r="45" spans="1:6" x14ac:dyDescent="0.3">
      <c r="A45" s="19">
        <v>45905</v>
      </c>
      <c r="B45" s="20" t="s">
        <v>50</v>
      </c>
      <c r="C45" s="21" t="s">
        <v>43</v>
      </c>
      <c r="D45" s="20"/>
      <c r="E45" s="22">
        <v>180000</v>
      </c>
      <c r="F45" s="15"/>
    </row>
    <row r="46" spans="1:6" x14ac:dyDescent="0.3">
      <c r="A46" s="5"/>
      <c r="B46" s="13" t="s">
        <v>75</v>
      </c>
      <c r="D46" s="13"/>
      <c r="E46" s="4"/>
      <c r="F46" s="16">
        <v>180000</v>
      </c>
    </row>
    <row r="47" spans="1:6" x14ac:dyDescent="0.3">
      <c r="A47" s="6"/>
      <c r="B47" s="14" t="s">
        <v>76</v>
      </c>
      <c r="C47" s="7"/>
      <c r="D47" s="14"/>
      <c r="E47" s="8"/>
      <c r="F47" s="17"/>
    </row>
    <row r="48" spans="1:6" x14ac:dyDescent="0.3">
      <c r="A48" s="3">
        <v>45908</v>
      </c>
      <c r="B48" s="13" t="s">
        <v>63</v>
      </c>
      <c r="C48" t="s">
        <v>43</v>
      </c>
      <c r="D48" s="13"/>
      <c r="E48" s="4">
        <v>235000</v>
      </c>
      <c r="F48" s="16"/>
    </row>
    <row r="49" spans="1:6" x14ac:dyDescent="0.3">
      <c r="A49" s="5"/>
      <c r="B49" s="13" t="s">
        <v>48</v>
      </c>
      <c r="D49" s="13"/>
      <c r="E49" s="4"/>
      <c r="F49" s="16">
        <v>225000</v>
      </c>
    </row>
    <row r="50" spans="1:6" x14ac:dyDescent="0.3">
      <c r="A50" s="5"/>
      <c r="B50" s="13" t="s">
        <v>77</v>
      </c>
      <c r="D50" s="13"/>
      <c r="E50" s="4"/>
      <c r="F50" s="16">
        <v>10000</v>
      </c>
    </row>
    <row r="51" spans="1:6" x14ac:dyDescent="0.3">
      <c r="A51" s="5"/>
      <c r="B51" s="13" t="s">
        <v>78</v>
      </c>
      <c r="D51" s="13"/>
      <c r="E51" s="4"/>
      <c r="F51" s="16"/>
    </row>
    <row r="52" spans="1:6" x14ac:dyDescent="0.3">
      <c r="A52" s="19">
        <v>45918</v>
      </c>
      <c r="B52" s="20" t="s">
        <v>79</v>
      </c>
      <c r="C52" s="21" t="s">
        <v>43</v>
      </c>
      <c r="D52" s="20"/>
      <c r="E52" s="22">
        <v>250000</v>
      </c>
      <c r="F52" s="15"/>
    </row>
    <row r="53" spans="1:6" x14ac:dyDescent="0.3">
      <c r="A53" s="5"/>
      <c r="B53" s="13" t="s">
        <v>55</v>
      </c>
      <c r="D53" s="13"/>
      <c r="E53" s="4"/>
      <c r="F53" s="16">
        <v>250000</v>
      </c>
    </row>
    <row r="54" spans="1:6" x14ac:dyDescent="0.3">
      <c r="A54" s="6"/>
      <c r="B54" s="14" t="s">
        <v>80</v>
      </c>
      <c r="C54" s="7"/>
      <c r="D54" s="14"/>
      <c r="E54" s="8"/>
      <c r="F54" s="17"/>
    </row>
    <row r="55" spans="1:6" x14ac:dyDescent="0.3">
      <c r="A55" s="3">
        <v>45950</v>
      </c>
      <c r="B55" s="13" t="s">
        <v>81</v>
      </c>
      <c r="C55" t="s">
        <v>43</v>
      </c>
      <c r="D55" s="13"/>
      <c r="E55" s="4">
        <v>12000</v>
      </c>
      <c r="F55" s="16"/>
    </row>
    <row r="56" spans="1:6" x14ac:dyDescent="0.3">
      <c r="A56" s="5"/>
      <c r="B56" s="13" t="s">
        <v>53</v>
      </c>
      <c r="D56" s="13"/>
      <c r="E56" s="4"/>
      <c r="F56" s="16">
        <v>12000</v>
      </c>
    </row>
    <row r="57" spans="1:6" x14ac:dyDescent="0.3">
      <c r="A57" s="5"/>
      <c r="B57" s="13" t="s">
        <v>82</v>
      </c>
      <c r="D57" s="13"/>
      <c r="E57" s="4"/>
      <c r="F57" s="16"/>
    </row>
    <row r="58" spans="1:6" x14ac:dyDescent="0.3">
      <c r="A58" s="19">
        <v>45955</v>
      </c>
      <c r="B58" s="20" t="s">
        <v>42</v>
      </c>
      <c r="C58" s="21" t="s">
        <v>43</v>
      </c>
      <c r="D58" s="20"/>
      <c r="E58" s="22">
        <v>15000</v>
      </c>
      <c r="F58" s="15"/>
    </row>
    <row r="59" spans="1:6" x14ac:dyDescent="0.3">
      <c r="A59" s="5"/>
      <c r="B59" s="13" t="s">
        <v>83</v>
      </c>
      <c r="D59" s="13"/>
      <c r="E59" s="4"/>
      <c r="F59" s="16">
        <v>15000</v>
      </c>
    </row>
    <row r="60" spans="1:6" x14ac:dyDescent="0.3">
      <c r="A60" s="6"/>
      <c r="B60" s="14" t="s">
        <v>84</v>
      </c>
      <c r="C60" s="7"/>
      <c r="D60" s="14"/>
      <c r="E60" s="8"/>
      <c r="F60" s="17"/>
    </row>
    <row r="61" spans="1:6" x14ac:dyDescent="0.3">
      <c r="A61" s="3">
        <v>45958</v>
      </c>
      <c r="B61" s="13" t="s">
        <v>85</v>
      </c>
      <c r="C61" t="s">
        <v>43</v>
      </c>
      <c r="D61" s="13"/>
      <c r="E61" s="4">
        <v>8000</v>
      </c>
      <c r="F61" s="16"/>
    </row>
    <row r="62" spans="1:6" x14ac:dyDescent="0.3">
      <c r="A62" s="5"/>
      <c r="B62" s="13" t="s">
        <v>53</v>
      </c>
      <c r="D62" s="13"/>
      <c r="E62" s="4"/>
      <c r="F62" s="16">
        <v>8000</v>
      </c>
    </row>
    <row r="63" spans="1:6" x14ac:dyDescent="0.3">
      <c r="A63" s="5"/>
      <c r="B63" s="13" t="s">
        <v>86</v>
      </c>
      <c r="D63" s="13"/>
      <c r="E63" s="4"/>
      <c r="F63" s="16"/>
    </row>
    <row r="64" spans="1:6" x14ac:dyDescent="0.3">
      <c r="A64" s="19">
        <v>45969</v>
      </c>
      <c r="B64" s="20" t="s">
        <v>87</v>
      </c>
      <c r="C64" s="21" t="s">
        <v>43</v>
      </c>
      <c r="D64" s="20"/>
      <c r="E64" s="22">
        <v>5000</v>
      </c>
      <c r="F64" s="15"/>
    </row>
    <row r="65" spans="1:6" x14ac:dyDescent="0.3">
      <c r="A65" s="5"/>
      <c r="B65" s="13" t="s">
        <v>53</v>
      </c>
      <c r="D65" s="13"/>
      <c r="E65" s="4"/>
      <c r="F65" s="16">
        <v>5000</v>
      </c>
    </row>
    <row r="66" spans="1:6" x14ac:dyDescent="0.3">
      <c r="A66" s="6"/>
      <c r="B66" s="14" t="s">
        <v>88</v>
      </c>
      <c r="C66" s="7"/>
      <c r="D66" s="14"/>
      <c r="E66" s="8"/>
      <c r="F66" s="17"/>
    </row>
    <row r="67" spans="1:6" x14ac:dyDescent="0.3">
      <c r="A67" s="3">
        <v>45979</v>
      </c>
      <c r="B67" s="13" t="s">
        <v>89</v>
      </c>
      <c r="C67" t="s">
        <v>43</v>
      </c>
      <c r="D67" s="13"/>
      <c r="E67" s="4">
        <v>15000</v>
      </c>
      <c r="F67" s="16"/>
    </row>
    <row r="68" spans="1:6" x14ac:dyDescent="0.3">
      <c r="A68" s="5"/>
      <c r="B68" s="13" t="s">
        <v>53</v>
      </c>
      <c r="D68" s="13"/>
      <c r="E68" s="4"/>
      <c r="F68" s="16">
        <v>150000</v>
      </c>
    </row>
    <row r="69" spans="1:6" x14ac:dyDescent="0.3">
      <c r="A69" s="5"/>
      <c r="B69" s="13" t="s">
        <v>90</v>
      </c>
      <c r="D69" s="13"/>
      <c r="E69" s="4"/>
      <c r="F69" s="16"/>
    </row>
    <row r="70" spans="1:6" x14ac:dyDescent="0.3">
      <c r="A70" s="19">
        <v>46001</v>
      </c>
      <c r="B70" s="20" t="s">
        <v>42</v>
      </c>
      <c r="C70" s="21" t="s">
        <v>43</v>
      </c>
      <c r="D70" s="20"/>
      <c r="E70" s="22">
        <v>150000</v>
      </c>
      <c r="F70" s="15"/>
    </row>
    <row r="71" spans="1:6" x14ac:dyDescent="0.3">
      <c r="A71" s="5"/>
      <c r="B71" s="13" t="s">
        <v>55</v>
      </c>
      <c r="D71" s="13"/>
      <c r="E71" s="4"/>
      <c r="F71" s="16">
        <v>150000</v>
      </c>
    </row>
    <row r="72" spans="1:6" x14ac:dyDescent="0.3">
      <c r="A72" s="6"/>
      <c r="B72" s="14" t="s">
        <v>56</v>
      </c>
      <c r="C72" s="7"/>
      <c r="D72" s="14"/>
      <c r="E72" s="8"/>
      <c r="F72" s="17"/>
    </row>
    <row r="73" spans="1:6" x14ac:dyDescent="0.3">
      <c r="A73" s="3">
        <v>46006</v>
      </c>
      <c r="B73" s="13" t="s">
        <v>91</v>
      </c>
      <c r="C73" t="s">
        <v>43</v>
      </c>
      <c r="D73" s="13"/>
      <c r="E73" s="4">
        <v>50000</v>
      </c>
      <c r="F73" s="16"/>
    </row>
    <row r="74" spans="1:6" x14ac:dyDescent="0.3">
      <c r="A74" s="5"/>
      <c r="B74" s="13" t="s">
        <v>48</v>
      </c>
      <c r="D74" s="13"/>
      <c r="E74" s="4"/>
      <c r="F74" s="16">
        <v>50000</v>
      </c>
    </row>
    <row r="75" spans="1:6" x14ac:dyDescent="0.3">
      <c r="A75" s="5"/>
      <c r="B75" s="13" t="s">
        <v>92</v>
      </c>
      <c r="D75" s="13"/>
      <c r="E75" s="4"/>
      <c r="F75" s="16"/>
    </row>
    <row r="76" spans="1:6" x14ac:dyDescent="0.3">
      <c r="A76" s="19">
        <v>46011</v>
      </c>
      <c r="B76" s="20" t="s">
        <v>93</v>
      </c>
      <c r="C76" s="21" t="s">
        <v>43</v>
      </c>
      <c r="D76" s="20"/>
      <c r="E76" s="22">
        <v>8000</v>
      </c>
      <c r="F76" s="15"/>
    </row>
    <row r="77" spans="1:6" x14ac:dyDescent="0.3">
      <c r="A77" s="5"/>
      <c r="B77" s="13" t="s">
        <v>53</v>
      </c>
      <c r="D77" s="13"/>
      <c r="E77" s="4"/>
      <c r="F77" s="16">
        <v>8000</v>
      </c>
    </row>
    <row r="78" spans="1:6" x14ac:dyDescent="0.3">
      <c r="A78" s="6"/>
      <c r="B78" s="14" t="s">
        <v>94</v>
      </c>
      <c r="C78" s="7"/>
      <c r="D78" s="14"/>
      <c r="E78" s="8"/>
      <c r="F78" s="17"/>
    </row>
    <row r="79" spans="1:6" x14ac:dyDescent="0.3">
      <c r="A79" s="3">
        <v>46032</v>
      </c>
      <c r="B79" s="13" t="s">
        <v>95</v>
      </c>
      <c r="C79" t="s">
        <v>43</v>
      </c>
      <c r="D79" s="13"/>
      <c r="E79" s="4">
        <v>12000</v>
      </c>
      <c r="F79" s="16"/>
    </row>
    <row r="80" spans="1:6" x14ac:dyDescent="0.3">
      <c r="A80" s="5"/>
      <c r="B80" s="13" t="s">
        <v>53</v>
      </c>
      <c r="D80" s="13"/>
      <c r="E80" s="4"/>
      <c r="F80" s="16">
        <v>120000</v>
      </c>
    </row>
    <row r="81" spans="1:6" x14ac:dyDescent="0.3">
      <c r="A81" s="5"/>
      <c r="B81" s="13" t="s">
        <v>96</v>
      </c>
      <c r="D81" s="13"/>
      <c r="E81" s="4"/>
      <c r="F81" s="16"/>
    </row>
    <row r="82" spans="1:6" x14ac:dyDescent="0.3">
      <c r="A82" s="19">
        <v>46037</v>
      </c>
      <c r="B82" s="20" t="s">
        <v>42</v>
      </c>
      <c r="C82" s="21" t="s">
        <v>43</v>
      </c>
      <c r="D82" s="20"/>
      <c r="E82" s="22">
        <v>240000</v>
      </c>
      <c r="F82" s="15"/>
    </row>
    <row r="83" spans="1:6" x14ac:dyDescent="0.3">
      <c r="A83" s="5"/>
      <c r="B83" s="13" t="s">
        <v>69</v>
      </c>
      <c r="C83" t="s">
        <v>43</v>
      </c>
      <c r="D83" s="13"/>
      <c r="E83" s="4">
        <v>10000</v>
      </c>
      <c r="F83" s="16"/>
    </row>
    <row r="84" spans="1:6" x14ac:dyDescent="0.3">
      <c r="A84" s="5"/>
      <c r="B84" s="13" t="s">
        <v>97</v>
      </c>
      <c r="D84" s="13"/>
      <c r="E84" s="4"/>
      <c r="F84" s="16">
        <v>250000</v>
      </c>
    </row>
    <row r="85" spans="1:6" x14ac:dyDescent="0.3">
      <c r="A85" s="6"/>
      <c r="B85" s="14" t="s">
        <v>98</v>
      </c>
      <c r="C85" s="7"/>
      <c r="D85" s="14"/>
      <c r="E85" s="8"/>
      <c r="F85" s="17"/>
    </row>
    <row r="86" spans="1:6" x14ac:dyDescent="0.3">
      <c r="A86" s="3">
        <v>46047</v>
      </c>
      <c r="B86" s="13" t="s">
        <v>99</v>
      </c>
      <c r="C86" t="s">
        <v>43</v>
      </c>
      <c r="D86" s="13"/>
      <c r="E86" s="4">
        <v>20000</v>
      </c>
      <c r="F86" s="16"/>
    </row>
    <row r="87" spans="1:6" x14ac:dyDescent="0.3">
      <c r="A87" s="5"/>
      <c r="B87" s="13" t="s">
        <v>53</v>
      </c>
      <c r="D87" s="13"/>
      <c r="E87" s="4"/>
      <c r="F87" s="16">
        <v>20000</v>
      </c>
    </row>
    <row r="88" spans="1:6" x14ac:dyDescent="0.3">
      <c r="A88" s="5"/>
      <c r="B88" s="13" t="s">
        <v>100</v>
      </c>
      <c r="D88" s="13"/>
      <c r="E88" s="4"/>
      <c r="F88" s="16"/>
    </row>
    <row r="89" spans="1:6" x14ac:dyDescent="0.3">
      <c r="A89" s="19">
        <v>46068</v>
      </c>
      <c r="B89" s="20" t="s">
        <v>50</v>
      </c>
      <c r="C89" s="21" t="s">
        <v>43</v>
      </c>
      <c r="D89" s="20"/>
      <c r="E89" s="22">
        <v>120000</v>
      </c>
      <c r="F89" s="15"/>
    </row>
    <row r="90" spans="1:6" x14ac:dyDescent="0.3">
      <c r="A90" s="5"/>
      <c r="B90" s="13" t="s">
        <v>102</v>
      </c>
      <c r="D90" s="13"/>
      <c r="E90" s="4"/>
      <c r="F90" s="16">
        <v>120000</v>
      </c>
    </row>
    <row r="91" spans="1:6" x14ac:dyDescent="0.3">
      <c r="A91" s="6"/>
      <c r="B91" s="14" t="s">
        <v>103</v>
      </c>
      <c r="C91" s="7"/>
      <c r="D91" s="14"/>
      <c r="E91" s="8"/>
      <c r="F91" s="17"/>
    </row>
    <row r="92" spans="1:6" x14ac:dyDescent="0.3">
      <c r="A92" s="3">
        <v>46099</v>
      </c>
      <c r="B92" s="13" t="s">
        <v>44</v>
      </c>
      <c r="C92" t="s">
        <v>43</v>
      </c>
      <c r="D92" s="13"/>
      <c r="E92" s="4">
        <v>4000</v>
      </c>
      <c r="F92" s="16"/>
    </row>
    <row r="93" spans="1:6" x14ac:dyDescent="0.3">
      <c r="A93" s="5"/>
      <c r="B93" s="13" t="s">
        <v>104</v>
      </c>
      <c r="D93" s="13"/>
      <c r="E93" s="4"/>
      <c r="F93" s="16">
        <v>4000</v>
      </c>
    </row>
    <row r="94" spans="1:6" x14ac:dyDescent="0.3">
      <c r="A94" s="5"/>
      <c r="B94" s="13" t="s">
        <v>105</v>
      </c>
      <c r="D94" s="13"/>
      <c r="E94" s="4"/>
      <c r="F94" s="16"/>
    </row>
    <row r="95" spans="1:6" x14ac:dyDescent="0.3">
      <c r="A95" s="19">
        <v>46101</v>
      </c>
      <c r="B95" s="20" t="s">
        <v>42</v>
      </c>
      <c r="C95" s="21" t="s">
        <v>43</v>
      </c>
      <c r="D95" s="20"/>
      <c r="E95" s="22">
        <v>50000</v>
      </c>
      <c r="F95" s="15"/>
    </row>
    <row r="96" spans="1:6" x14ac:dyDescent="0.3">
      <c r="A96" s="5"/>
      <c r="B96" s="13" t="s">
        <v>55</v>
      </c>
      <c r="D96" s="13"/>
      <c r="E96" s="4"/>
      <c r="F96" s="16">
        <v>50000</v>
      </c>
    </row>
    <row r="97" spans="1:6" x14ac:dyDescent="0.3">
      <c r="A97" s="6"/>
      <c r="B97" s="14" t="s">
        <v>106</v>
      </c>
      <c r="C97" s="7"/>
      <c r="D97" s="14"/>
      <c r="E97" s="8"/>
      <c r="F97" s="17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F57F-11E0-4B0A-B0BA-C1CAE5258B1E}">
  <dimension ref="A1:H258"/>
  <sheetViews>
    <sheetView workbookViewId="0">
      <selection activeCell="H78" sqref="H78"/>
    </sheetView>
  </sheetViews>
  <sheetFormatPr defaultRowHeight="14.4" x14ac:dyDescent="0.3"/>
  <cols>
    <col min="1" max="1" width="15.44140625" customWidth="1"/>
    <col min="2" max="2" width="34.77734375" customWidth="1"/>
    <col min="3" max="3" width="6.109375" customWidth="1"/>
    <col min="4" max="4" width="15.88671875" style="2" customWidth="1"/>
    <col min="5" max="5" width="15.44140625" customWidth="1"/>
    <col min="6" max="6" width="34.77734375" customWidth="1"/>
    <col min="7" max="7" width="6.109375" customWidth="1"/>
    <col min="8" max="8" width="15.88671875" style="2" customWidth="1"/>
  </cols>
  <sheetData>
    <row r="1" spans="1:8" ht="17.399999999999999" x14ac:dyDescent="0.3">
      <c r="A1" s="47" t="s">
        <v>110</v>
      </c>
      <c r="B1" s="47"/>
      <c r="C1" s="47"/>
      <c r="D1" s="47"/>
      <c r="E1" s="47"/>
      <c r="F1" s="47"/>
      <c r="G1" s="47"/>
      <c r="H1" s="47"/>
    </row>
    <row r="3" spans="1:8" ht="17.399999999999999" x14ac:dyDescent="0.3">
      <c r="A3" s="1" t="s">
        <v>107</v>
      </c>
      <c r="B3" s="47" t="s">
        <v>109</v>
      </c>
      <c r="C3" s="47"/>
      <c r="D3" s="47"/>
      <c r="E3" s="47"/>
      <c r="F3" s="47"/>
      <c r="G3" s="47"/>
      <c r="H3" s="23" t="s">
        <v>108</v>
      </c>
    </row>
    <row r="4" spans="1:8" ht="15.6" x14ac:dyDescent="0.3">
      <c r="A4" s="12" t="s">
        <v>37</v>
      </c>
      <c r="B4" s="12" t="s">
        <v>38</v>
      </c>
      <c r="C4" s="12" t="s">
        <v>111</v>
      </c>
      <c r="D4" s="18" t="s">
        <v>112</v>
      </c>
      <c r="E4" s="12" t="s">
        <v>37</v>
      </c>
      <c r="F4" s="12" t="s">
        <v>38</v>
      </c>
      <c r="G4" s="12" t="s">
        <v>111</v>
      </c>
      <c r="H4" s="18" t="s">
        <v>112</v>
      </c>
    </row>
    <row r="5" spans="1:8" x14ac:dyDescent="0.3">
      <c r="A5" s="24">
        <v>46112</v>
      </c>
      <c r="B5" s="25" t="s">
        <v>115</v>
      </c>
      <c r="C5" s="25"/>
      <c r="D5" s="26">
        <f>D8</f>
        <v>1500000</v>
      </c>
      <c r="E5" s="24">
        <v>45748</v>
      </c>
      <c r="F5" s="25" t="s">
        <v>113</v>
      </c>
      <c r="G5" s="25"/>
      <c r="H5" s="26">
        <v>500000</v>
      </c>
    </row>
    <row r="6" spans="1:8" x14ac:dyDescent="0.3">
      <c r="A6" s="25"/>
      <c r="B6" s="25"/>
      <c r="C6" s="25"/>
      <c r="D6" s="26"/>
      <c r="E6" s="24">
        <v>45748</v>
      </c>
      <c r="F6" s="25" t="s">
        <v>114</v>
      </c>
      <c r="G6" s="25"/>
      <c r="H6" s="26">
        <v>1000000</v>
      </c>
    </row>
    <row r="7" spans="1:8" x14ac:dyDescent="0.3">
      <c r="A7" s="25"/>
      <c r="B7" s="25"/>
      <c r="C7" s="25"/>
      <c r="D7" s="26"/>
      <c r="E7" s="25"/>
      <c r="F7" s="25"/>
      <c r="G7" s="25"/>
      <c r="H7" s="26"/>
    </row>
    <row r="8" spans="1:8" x14ac:dyDescent="0.3">
      <c r="A8" s="25"/>
      <c r="B8" s="25"/>
      <c r="C8" s="25"/>
      <c r="D8" s="27">
        <f>H8</f>
        <v>1500000</v>
      </c>
      <c r="E8" s="25"/>
      <c r="F8" s="25"/>
      <c r="G8" s="25"/>
      <c r="H8" s="27">
        <f>SUM(H5:H7)</f>
        <v>1500000</v>
      </c>
    </row>
    <row r="9" spans="1:8" x14ac:dyDescent="0.3">
      <c r="A9" s="25"/>
      <c r="B9" s="25"/>
      <c r="C9" s="25"/>
      <c r="D9" s="26"/>
      <c r="E9" s="24">
        <v>46113</v>
      </c>
      <c r="F9" s="25" t="s">
        <v>116</v>
      </c>
      <c r="G9" s="25"/>
      <c r="H9" s="27">
        <f>H8</f>
        <v>1500000</v>
      </c>
    </row>
    <row r="12" spans="1:8" ht="17.399999999999999" x14ac:dyDescent="0.3">
      <c r="A12" s="1" t="s">
        <v>107</v>
      </c>
      <c r="B12" s="47" t="s">
        <v>42</v>
      </c>
      <c r="C12" s="47"/>
      <c r="D12" s="47"/>
      <c r="E12" s="47"/>
      <c r="F12" s="47"/>
      <c r="G12" s="47"/>
      <c r="H12" s="23" t="s">
        <v>108</v>
      </c>
    </row>
    <row r="13" spans="1:8" ht="15.6" x14ac:dyDescent="0.3">
      <c r="A13" s="12" t="s">
        <v>37</v>
      </c>
      <c r="B13" s="12" t="s">
        <v>38</v>
      </c>
      <c r="C13" s="12" t="s">
        <v>111</v>
      </c>
      <c r="D13" s="18" t="s">
        <v>112</v>
      </c>
      <c r="E13" s="12" t="s">
        <v>37</v>
      </c>
      <c r="F13" s="12" t="s">
        <v>38</v>
      </c>
      <c r="G13" s="12" t="s">
        <v>111</v>
      </c>
      <c r="H13" s="18" t="s">
        <v>112</v>
      </c>
    </row>
    <row r="14" spans="1:8" x14ac:dyDescent="0.3">
      <c r="A14" s="24">
        <v>45748</v>
      </c>
      <c r="B14" s="25" t="s">
        <v>117</v>
      </c>
      <c r="C14" s="25"/>
      <c r="D14" s="29">
        <v>500000</v>
      </c>
      <c r="E14" s="24">
        <v>45782</v>
      </c>
      <c r="F14" s="25" t="s">
        <v>118</v>
      </c>
      <c r="G14" s="25"/>
      <c r="H14" s="29">
        <v>120000</v>
      </c>
    </row>
    <row r="15" spans="1:8" x14ac:dyDescent="0.3">
      <c r="A15" s="24">
        <v>45789</v>
      </c>
      <c r="B15" s="25" t="s">
        <v>119</v>
      </c>
      <c r="C15" s="25"/>
      <c r="D15" s="29">
        <v>200000</v>
      </c>
      <c r="E15" s="24">
        <v>45797</v>
      </c>
      <c r="F15" s="25" t="s">
        <v>120</v>
      </c>
      <c r="G15" s="25"/>
      <c r="H15" s="29">
        <v>10000</v>
      </c>
    </row>
    <row r="16" spans="1:8" x14ac:dyDescent="0.3">
      <c r="A16" s="24">
        <v>45858</v>
      </c>
      <c r="B16" s="25" t="s">
        <v>122</v>
      </c>
      <c r="C16" s="25"/>
      <c r="D16" s="29">
        <v>200000</v>
      </c>
      <c r="E16" s="24">
        <v>45826</v>
      </c>
      <c r="F16" s="25" t="s">
        <v>121</v>
      </c>
      <c r="G16" s="25"/>
      <c r="H16" s="29">
        <v>25000</v>
      </c>
    </row>
    <row r="17" spans="1:8" x14ac:dyDescent="0.3">
      <c r="A17" s="24">
        <v>45955</v>
      </c>
      <c r="B17" s="25" t="s">
        <v>125</v>
      </c>
      <c r="C17" s="25"/>
      <c r="D17" s="29">
        <v>15000</v>
      </c>
      <c r="E17" s="24">
        <v>45894</v>
      </c>
      <c r="F17" s="25" t="s">
        <v>123</v>
      </c>
      <c r="G17" s="25"/>
      <c r="H17" s="29">
        <v>30000</v>
      </c>
    </row>
    <row r="18" spans="1:8" x14ac:dyDescent="0.3">
      <c r="A18" s="24">
        <v>46001</v>
      </c>
      <c r="B18" s="25" t="s">
        <v>119</v>
      </c>
      <c r="C18" s="25"/>
      <c r="D18" s="29">
        <v>150000</v>
      </c>
      <c r="E18" s="24">
        <v>45950</v>
      </c>
      <c r="F18" s="25" t="s">
        <v>124</v>
      </c>
      <c r="G18" s="25"/>
      <c r="H18" s="29">
        <v>12000</v>
      </c>
    </row>
    <row r="19" spans="1:8" x14ac:dyDescent="0.3">
      <c r="A19" s="24">
        <v>45672</v>
      </c>
      <c r="B19" s="25" t="s">
        <v>131</v>
      </c>
      <c r="C19" s="25"/>
      <c r="D19" s="26">
        <v>240000</v>
      </c>
      <c r="E19" s="24">
        <v>45958</v>
      </c>
      <c r="F19" s="25" t="s">
        <v>126</v>
      </c>
      <c r="G19" s="25"/>
      <c r="H19" s="26">
        <v>8000</v>
      </c>
    </row>
    <row r="20" spans="1:8" x14ac:dyDescent="0.3">
      <c r="A20" s="24">
        <v>46101</v>
      </c>
      <c r="B20" s="25" t="s">
        <v>119</v>
      </c>
      <c r="C20" s="25"/>
      <c r="D20" s="26">
        <v>50000</v>
      </c>
      <c r="E20" s="24">
        <v>45969</v>
      </c>
      <c r="F20" s="25" t="s">
        <v>127</v>
      </c>
      <c r="G20" s="25"/>
      <c r="H20" s="26">
        <v>5000</v>
      </c>
    </row>
    <row r="21" spans="1:8" x14ac:dyDescent="0.3">
      <c r="A21" s="25"/>
      <c r="B21" s="25"/>
      <c r="C21" s="25"/>
      <c r="D21" s="26"/>
      <c r="E21" s="24">
        <v>45979</v>
      </c>
      <c r="F21" s="25" t="s">
        <v>128</v>
      </c>
      <c r="G21" s="25"/>
      <c r="H21" s="26">
        <v>15000</v>
      </c>
    </row>
    <row r="22" spans="1:8" x14ac:dyDescent="0.3">
      <c r="A22" s="25"/>
      <c r="B22" s="25"/>
      <c r="C22" s="25"/>
      <c r="D22" s="26"/>
      <c r="E22" s="24">
        <v>46011</v>
      </c>
      <c r="F22" s="25" t="s">
        <v>129</v>
      </c>
      <c r="G22" s="25"/>
      <c r="H22" s="26">
        <v>8000</v>
      </c>
    </row>
    <row r="23" spans="1:8" x14ac:dyDescent="0.3">
      <c r="A23" s="25"/>
      <c r="B23" s="25"/>
      <c r="C23" s="25"/>
      <c r="D23" s="26"/>
      <c r="E23" s="24">
        <v>46032</v>
      </c>
      <c r="F23" s="25" t="s">
        <v>130</v>
      </c>
      <c r="G23" s="25"/>
      <c r="H23" s="26">
        <v>12000</v>
      </c>
    </row>
    <row r="24" spans="1:8" x14ac:dyDescent="0.3">
      <c r="A24" s="25"/>
      <c r="B24" s="25"/>
      <c r="C24" s="25"/>
      <c r="D24" s="26"/>
      <c r="E24" s="24">
        <v>46047</v>
      </c>
      <c r="F24" s="25" t="s">
        <v>132</v>
      </c>
      <c r="G24" s="25"/>
      <c r="H24" s="26">
        <v>20000</v>
      </c>
    </row>
    <row r="25" spans="1:8" x14ac:dyDescent="0.3">
      <c r="A25" s="25"/>
      <c r="B25" s="25"/>
      <c r="C25" s="25"/>
      <c r="D25" s="26"/>
      <c r="E25" s="24">
        <v>46112</v>
      </c>
      <c r="F25" s="25" t="s">
        <v>133</v>
      </c>
      <c r="G25" s="25"/>
      <c r="H25" s="26">
        <v>1090000</v>
      </c>
    </row>
    <row r="26" spans="1:8" x14ac:dyDescent="0.3">
      <c r="A26" s="25"/>
      <c r="B26" s="25"/>
      <c r="C26" s="25"/>
      <c r="D26" s="26"/>
      <c r="E26" s="25"/>
      <c r="F26" s="25"/>
      <c r="G26" s="25"/>
      <c r="H26" s="26"/>
    </row>
    <row r="27" spans="1:8" x14ac:dyDescent="0.3">
      <c r="A27" s="25"/>
      <c r="B27" s="25"/>
      <c r="C27" s="25"/>
      <c r="D27" s="27">
        <f>SUM(D14:D26)</f>
        <v>1355000</v>
      </c>
      <c r="E27" s="28"/>
      <c r="F27" s="28"/>
      <c r="G27" s="28"/>
      <c r="H27" s="27">
        <f>SUM(H14:H26)</f>
        <v>1355000</v>
      </c>
    </row>
    <row r="28" spans="1:8" x14ac:dyDescent="0.3">
      <c r="A28" s="24">
        <v>46113</v>
      </c>
      <c r="B28" s="25" t="s">
        <v>134</v>
      </c>
      <c r="C28" s="25"/>
      <c r="D28" s="27">
        <f>H25</f>
        <v>1090000</v>
      </c>
      <c r="E28" s="28"/>
      <c r="F28" s="28"/>
      <c r="G28" s="28"/>
      <c r="H28" s="27"/>
    </row>
    <row r="31" spans="1:8" ht="17.399999999999999" x14ac:dyDescent="0.3">
      <c r="A31" s="1" t="s">
        <v>107</v>
      </c>
      <c r="B31" s="47" t="s">
        <v>44</v>
      </c>
      <c r="C31" s="47"/>
      <c r="D31" s="47"/>
      <c r="E31" s="47"/>
      <c r="F31" s="47"/>
      <c r="G31" s="47"/>
      <c r="H31" s="23" t="s">
        <v>108</v>
      </c>
    </row>
    <row r="32" spans="1:8" ht="15.6" x14ac:dyDescent="0.3">
      <c r="A32" s="12" t="s">
        <v>37</v>
      </c>
      <c r="B32" s="12" t="s">
        <v>38</v>
      </c>
      <c r="C32" s="12" t="s">
        <v>111</v>
      </c>
      <c r="D32" s="18" t="s">
        <v>112</v>
      </c>
      <c r="E32" s="12" t="s">
        <v>37</v>
      </c>
      <c r="F32" s="12" t="s">
        <v>38</v>
      </c>
      <c r="G32" s="12" t="s">
        <v>111</v>
      </c>
      <c r="H32" s="18" t="s">
        <v>112</v>
      </c>
    </row>
    <row r="33" spans="1:8" x14ac:dyDescent="0.3">
      <c r="A33" s="24">
        <v>45748</v>
      </c>
      <c r="B33" s="25" t="s">
        <v>117</v>
      </c>
      <c r="C33" s="25"/>
      <c r="D33" s="29">
        <v>1000000</v>
      </c>
      <c r="E33" s="24">
        <v>45752</v>
      </c>
      <c r="F33" s="25" t="s">
        <v>135</v>
      </c>
      <c r="G33" s="25"/>
      <c r="H33" s="29">
        <v>80000</v>
      </c>
    </row>
    <row r="34" spans="1:8" x14ac:dyDescent="0.3">
      <c r="A34" s="24">
        <v>46099</v>
      </c>
      <c r="B34" s="25" t="s">
        <v>139</v>
      </c>
      <c r="C34" s="25"/>
      <c r="D34" s="29">
        <v>4000</v>
      </c>
      <c r="E34" s="24">
        <v>45887</v>
      </c>
      <c r="F34" s="25" t="s">
        <v>136</v>
      </c>
      <c r="G34" s="25"/>
      <c r="H34" s="29">
        <v>35000</v>
      </c>
    </row>
    <row r="35" spans="1:8" x14ac:dyDescent="0.3">
      <c r="A35" s="24"/>
      <c r="B35" s="25"/>
      <c r="C35" s="25"/>
      <c r="D35" s="29"/>
      <c r="E35" s="24">
        <v>45908</v>
      </c>
      <c r="F35" s="25" t="s">
        <v>137</v>
      </c>
      <c r="G35" s="25"/>
      <c r="H35" s="29">
        <v>225000</v>
      </c>
    </row>
    <row r="36" spans="1:8" x14ac:dyDescent="0.3">
      <c r="A36" s="24"/>
      <c r="B36" s="25"/>
      <c r="C36" s="25"/>
      <c r="D36" s="29"/>
      <c r="E36" s="24">
        <v>46006</v>
      </c>
      <c r="F36" s="25" t="s">
        <v>138</v>
      </c>
      <c r="G36" s="25"/>
      <c r="H36" s="29">
        <v>50000</v>
      </c>
    </row>
    <row r="37" spans="1:8" x14ac:dyDescent="0.3">
      <c r="A37" s="24"/>
      <c r="B37" s="25"/>
      <c r="C37" s="25"/>
      <c r="D37" s="29"/>
      <c r="E37" s="24">
        <v>46112</v>
      </c>
      <c r="F37" s="25" t="s">
        <v>133</v>
      </c>
      <c r="G37" s="25"/>
      <c r="H37" s="29">
        <v>614000</v>
      </c>
    </row>
    <row r="38" spans="1:8" x14ac:dyDescent="0.3">
      <c r="A38" s="24"/>
      <c r="B38" s="25"/>
      <c r="C38" s="25"/>
      <c r="D38" s="29"/>
      <c r="E38" s="24"/>
      <c r="F38" s="25"/>
      <c r="G38" s="25"/>
      <c r="H38" s="26"/>
    </row>
    <row r="39" spans="1:8" x14ac:dyDescent="0.3">
      <c r="A39" s="24"/>
      <c r="B39" s="25"/>
      <c r="C39" s="25"/>
      <c r="D39" s="27">
        <f>SUM(D33:D38)</f>
        <v>1004000</v>
      </c>
      <c r="E39" s="30"/>
      <c r="F39" s="28"/>
      <c r="G39" s="28"/>
      <c r="H39" s="27">
        <f>SUM(H33:H37)</f>
        <v>1004000</v>
      </c>
    </row>
    <row r="40" spans="1:8" x14ac:dyDescent="0.3">
      <c r="A40" s="24">
        <v>46113</v>
      </c>
      <c r="B40" s="25" t="s">
        <v>134</v>
      </c>
      <c r="C40" s="25"/>
      <c r="D40" s="27">
        <f>H37</f>
        <v>614000</v>
      </c>
      <c r="E40" s="30"/>
      <c r="F40" s="28"/>
      <c r="G40" s="28"/>
      <c r="H40" s="27"/>
    </row>
    <row r="43" spans="1:8" ht="17.399999999999999" x14ac:dyDescent="0.3">
      <c r="A43" s="1" t="s">
        <v>107</v>
      </c>
      <c r="B43" s="47" t="s">
        <v>47</v>
      </c>
      <c r="C43" s="47"/>
      <c r="D43" s="47"/>
      <c r="E43" s="47"/>
      <c r="F43" s="47"/>
      <c r="G43" s="47"/>
      <c r="H43" s="23" t="s">
        <v>108</v>
      </c>
    </row>
    <row r="44" spans="1:8" ht="15.6" x14ac:dyDescent="0.3">
      <c r="A44" s="12" t="s">
        <v>37</v>
      </c>
      <c r="B44" s="12" t="s">
        <v>38</v>
      </c>
      <c r="C44" s="12" t="s">
        <v>111</v>
      </c>
      <c r="D44" s="18" t="s">
        <v>112</v>
      </c>
      <c r="E44" s="12" t="s">
        <v>37</v>
      </c>
      <c r="F44" s="12" t="s">
        <v>38</v>
      </c>
      <c r="G44" s="12" t="s">
        <v>111</v>
      </c>
      <c r="H44" s="18" t="s">
        <v>112</v>
      </c>
    </row>
    <row r="45" spans="1:8" x14ac:dyDescent="0.3">
      <c r="A45" s="24">
        <v>45749</v>
      </c>
      <c r="B45" s="25" t="s">
        <v>140</v>
      </c>
      <c r="C45" s="25"/>
      <c r="D45" s="29">
        <v>80000</v>
      </c>
      <c r="E45" s="24">
        <v>46112</v>
      </c>
      <c r="F45" s="25" t="s">
        <v>133</v>
      </c>
      <c r="G45" s="25"/>
      <c r="H45" s="29">
        <f>D48</f>
        <v>80000</v>
      </c>
    </row>
    <row r="46" spans="1:8" x14ac:dyDescent="0.3">
      <c r="A46" s="24"/>
      <c r="B46" s="25"/>
      <c r="C46" s="25"/>
      <c r="D46" s="29"/>
      <c r="E46" s="24"/>
      <c r="F46" s="25"/>
      <c r="G46" s="25"/>
      <c r="H46" s="29"/>
    </row>
    <row r="47" spans="1:8" x14ac:dyDescent="0.3">
      <c r="A47" s="24"/>
      <c r="B47" s="25"/>
      <c r="C47" s="25"/>
      <c r="D47" s="27">
        <f>SUM(D45:D46)</f>
        <v>80000</v>
      </c>
      <c r="E47" s="30"/>
      <c r="F47" s="28"/>
      <c r="G47" s="28"/>
      <c r="H47" s="27">
        <f>D47</f>
        <v>80000</v>
      </c>
    </row>
    <row r="48" spans="1:8" x14ac:dyDescent="0.3">
      <c r="A48" s="24">
        <v>46113</v>
      </c>
      <c r="B48" s="25" t="s">
        <v>134</v>
      </c>
      <c r="C48" s="25"/>
      <c r="D48" s="27">
        <f>D47</f>
        <v>80000</v>
      </c>
      <c r="E48" s="30"/>
      <c r="F48" s="28"/>
      <c r="G48" s="28"/>
      <c r="H48" s="27"/>
    </row>
    <row r="49" spans="1:8" x14ac:dyDescent="0.3">
      <c r="D49" s="31"/>
      <c r="H49" s="31"/>
    </row>
    <row r="51" spans="1:8" ht="17.399999999999999" x14ac:dyDescent="0.3">
      <c r="A51" s="1" t="s">
        <v>107</v>
      </c>
      <c r="B51" s="47" t="s">
        <v>50</v>
      </c>
      <c r="C51" s="47"/>
      <c r="D51" s="47"/>
      <c r="E51" s="47"/>
      <c r="F51" s="47"/>
      <c r="G51" s="47"/>
      <c r="H51" s="23" t="s">
        <v>108</v>
      </c>
    </row>
    <row r="52" spans="1:8" ht="15.6" x14ac:dyDescent="0.3">
      <c r="A52" s="12" t="s">
        <v>37</v>
      </c>
      <c r="B52" s="12" t="s">
        <v>38</v>
      </c>
      <c r="C52" s="12" t="s">
        <v>111</v>
      </c>
      <c r="D52" s="18" t="s">
        <v>112</v>
      </c>
      <c r="E52" s="12" t="s">
        <v>37</v>
      </c>
      <c r="F52" s="12" t="s">
        <v>38</v>
      </c>
      <c r="G52" s="12" t="s">
        <v>111</v>
      </c>
      <c r="H52" s="18" t="s">
        <v>112</v>
      </c>
    </row>
    <row r="53" spans="1:8" x14ac:dyDescent="0.3">
      <c r="A53" s="24">
        <v>45762</v>
      </c>
      <c r="B53" s="25" t="s">
        <v>141</v>
      </c>
      <c r="C53" s="25"/>
      <c r="D53" s="29">
        <v>250000</v>
      </c>
      <c r="E53" s="24">
        <v>46112</v>
      </c>
      <c r="F53" s="25" t="s">
        <v>133</v>
      </c>
      <c r="G53" s="25"/>
      <c r="H53" s="29">
        <f>D59</f>
        <v>670000</v>
      </c>
    </row>
    <row r="54" spans="1:8" x14ac:dyDescent="0.3">
      <c r="A54" s="24">
        <v>45782</v>
      </c>
      <c r="B54" s="25" t="s">
        <v>142</v>
      </c>
      <c r="C54" s="25"/>
      <c r="D54" s="29">
        <v>120000</v>
      </c>
      <c r="E54" s="24"/>
      <c r="F54" s="25"/>
      <c r="G54" s="25"/>
      <c r="H54" s="29"/>
    </row>
    <row r="55" spans="1:8" x14ac:dyDescent="0.3">
      <c r="A55" s="24">
        <v>45905</v>
      </c>
      <c r="B55" s="25" t="s">
        <v>143</v>
      </c>
      <c r="C55" s="25"/>
      <c r="D55" s="29">
        <v>180000</v>
      </c>
      <c r="E55" s="24"/>
      <c r="F55" s="25"/>
      <c r="G55" s="25"/>
      <c r="H55" s="29"/>
    </row>
    <row r="56" spans="1:8" x14ac:dyDescent="0.3">
      <c r="A56" s="24">
        <v>46068</v>
      </c>
      <c r="B56" s="25" t="s">
        <v>144</v>
      </c>
      <c r="C56" s="25"/>
      <c r="D56" s="29">
        <v>120000</v>
      </c>
      <c r="E56" s="24"/>
      <c r="F56" s="25"/>
      <c r="G56" s="25"/>
      <c r="H56" s="29"/>
    </row>
    <row r="57" spans="1:8" x14ac:dyDescent="0.3">
      <c r="A57" s="25"/>
      <c r="B57" s="25"/>
      <c r="C57" s="25"/>
      <c r="D57" s="26"/>
      <c r="E57" s="25"/>
      <c r="F57" s="25"/>
      <c r="G57" s="25"/>
      <c r="H57" s="26"/>
    </row>
    <row r="58" spans="1:8" x14ac:dyDescent="0.3">
      <c r="A58" s="25"/>
      <c r="B58" s="25"/>
      <c r="C58" s="25"/>
      <c r="D58" s="27">
        <f>SUM(D53:D57)</f>
        <v>670000</v>
      </c>
      <c r="E58" s="28"/>
      <c r="F58" s="28"/>
      <c r="G58" s="28"/>
      <c r="H58" s="27">
        <f>SUM(H53:H57)</f>
        <v>670000</v>
      </c>
    </row>
    <row r="59" spans="1:8" x14ac:dyDescent="0.3">
      <c r="A59" s="24">
        <v>46113</v>
      </c>
      <c r="B59" s="25" t="s">
        <v>134</v>
      </c>
      <c r="C59" s="25"/>
      <c r="D59" s="27">
        <f>D58</f>
        <v>670000</v>
      </c>
      <c r="E59" s="28"/>
      <c r="F59" s="28"/>
      <c r="G59" s="28"/>
      <c r="H59" s="27"/>
    </row>
    <row r="62" spans="1:8" ht="17.399999999999999" x14ac:dyDescent="0.3">
      <c r="A62" s="1" t="s">
        <v>107</v>
      </c>
      <c r="B62" s="47" t="s">
        <v>63</v>
      </c>
      <c r="C62" s="47"/>
      <c r="D62" s="47"/>
      <c r="E62" s="47"/>
      <c r="F62" s="47"/>
      <c r="G62" s="47"/>
      <c r="H62" s="23" t="s">
        <v>108</v>
      </c>
    </row>
    <row r="63" spans="1:8" ht="15.6" x14ac:dyDescent="0.3">
      <c r="A63" s="12" t="s">
        <v>37</v>
      </c>
      <c r="B63" s="12" t="s">
        <v>38</v>
      </c>
      <c r="C63" s="12" t="s">
        <v>111</v>
      </c>
      <c r="D63" s="18" t="s">
        <v>112</v>
      </c>
      <c r="E63" s="12" t="s">
        <v>37</v>
      </c>
      <c r="F63" s="12" t="s">
        <v>38</v>
      </c>
      <c r="G63" s="12" t="s">
        <v>111</v>
      </c>
      <c r="H63" s="18" t="s">
        <v>112</v>
      </c>
    </row>
    <row r="64" spans="1:8" x14ac:dyDescent="0.3">
      <c r="A64" s="24">
        <v>45836</v>
      </c>
      <c r="B64" s="25" t="s">
        <v>145</v>
      </c>
      <c r="C64" s="25"/>
      <c r="D64" s="29">
        <v>15000</v>
      </c>
      <c r="E64" s="24">
        <v>45762</v>
      </c>
      <c r="F64" s="25" t="s">
        <v>118</v>
      </c>
      <c r="G64" s="25"/>
      <c r="H64" s="29">
        <v>250000</v>
      </c>
    </row>
    <row r="65" spans="1:8" x14ac:dyDescent="0.3">
      <c r="A65" s="24">
        <v>45908</v>
      </c>
      <c r="B65" s="25" t="s">
        <v>140</v>
      </c>
      <c r="C65" s="25"/>
      <c r="D65" s="29">
        <v>225000</v>
      </c>
      <c r="E65" s="24"/>
      <c r="F65" s="25"/>
      <c r="G65" s="25"/>
      <c r="H65" s="29"/>
    </row>
    <row r="66" spans="1:8" x14ac:dyDescent="0.3">
      <c r="A66" s="24">
        <v>45908</v>
      </c>
      <c r="B66" s="25" t="s">
        <v>146</v>
      </c>
      <c r="C66" s="25"/>
      <c r="D66" s="29">
        <v>10000</v>
      </c>
      <c r="E66" s="24"/>
      <c r="F66" s="25"/>
      <c r="G66" s="25"/>
      <c r="H66" s="29"/>
    </row>
    <row r="67" spans="1:8" x14ac:dyDescent="0.3">
      <c r="A67" s="25"/>
      <c r="B67" s="25"/>
      <c r="C67" s="25"/>
      <c r="D67" s="29"/>
      <c r="E67" s="25"/>
      <c r="F67" s="25"/>
      <c r="G67" s="25"/>
      <c r="H67" s="29"/>
    </row>
    <row r="68" spans="1:8" x14ac:dyDescent="0.3">
      <c r="A68" s="25"/>
      <c r="B68" s="25"/>
      <c r="C68" s="25"/>
      <c r="D68" s="27">
        <f>SUM(D64:D67)</f>
        <v>250000</v>
      </c>
      <c r="E68" s="25"/>
      <c r="F68" s="25"/>
      <c r="G68" s="25"/>
      <c r="H68" s="27">
        <f>SUM(H64:H67)</f>
        <v>250000</v>
      </c>
    </row>
    <row r="71" spans="1:8" ht="17.399999999999999" x14ac:dyDescent="0.3">
      <c r="A71" s="1" t="s">
        <v>107</v>
      </c>
      <c r="B71" s="47" t="s">
        <v>147</v>
      </c>
      <c r="C71" s="47"/>
      <c r="D71" s="47"/>
      <c r="E71" s="47"/>
      <c r="F71" s="47"/>
      <c r="G71" s="47"/>
      <c r="H71" s="23" t="s">
        <v>108</v>
      </c>
    </row>
    <row r="72" spans="1:8" ht="15.6" x14ac:dyDescent="0.3">
      <c r="A72" s="12" t="s">
        <v>37</v>
      </c>
      <c r="B72" s="12" t="s">
        <v>38</v>
      </c>
      <c r="C72" s="12" t="s">
        <v>111</v>
      </c>
      <c r="D72" s="18" t="s">
        <v>112</v>
      </c>
      <c r="E72" s="12" t="s">
        <v>37</v>
      </c>
      <c r="F72" s="12" t="s">
        <v>38</v>
      </c>
      <c r="G72" s="12" t="s">
        <v>111</v>
      </c>
      <c r="H72" s="18" t="s">
        <v>112</v>
      </c>
    </row>
    <row r="73" spans="1:8" x14ac:dyDescent="0.3">
      <c r="A73" s="24">
        <v>46112</v>
      </c>
      <c r="B73" s="25" t="s">
        <v>115</v>
      </c>
      <c r="C73" s="25"/>
      <c r="D73" s="29">
        <f>H79</f>
        <v>870000</v>
      </c>
      <c r="E73" s="24">
        <v>45789</v>
      </c>
      <c r="F73" s="25" t="s">
        <v>113</v>
      </c>
      <c r="G73" s="25"/>
      <c r="H73" s="29">
        <v>200000</v>
      </c>
    </row>
    <row r="74" spans="1:8" x14ac:dyDescent="0.3">
      <c r="A74" s="24"/>
      <c r="B74" s="25"/>
      <c r="C74" s="25"/>
      <c r="D74" s="29"/>
      <c r="E74" s="24">
        <v>45816</v>
      </c>
      <c r="F74" s="25" t="s">
        <v>148</v>
      </c>
      <c r="G74" s="25"/>
      <c r="H74" s="29">
        <v>220000</v>
      </c>
    </row>
    <row r="75" spans="1:8" x14ac:dyDescent="0.3">
      <c r="A75" s="24"/>
      <c r="B75" s="25"/>
      <c r="C75" s="25"/>
      <c r="D75" s="29"/>
      <c r="E75" s="24">
        <v>45918</v>
      </c>
      <c r="F75" s="25" t="s">
        <v>149</v>
      </c>
      <c r="G75" s="25"/>
      <c r="H75" s="29">
        <v>250000</v>
      </c>
    </row>
    <row r="76" spans="1:8" x14ac:dyDescent="0.3">
      <c r="A76" s="24"/>
      <c r="B76" s="25"/>
      <c r="C76" s="25"/>
      <c r="D76" s="29"/>
      <c r="E76" s="24">
        <v>46001</v>
      </c>
      <c r="F76" s="25" t="s">
        <v>113</v>
      </c>
      <c r="G76" s="25"/>
      <c r="H76" s="29">
        <v>150000</v>
      </c>
    </row>
    <row r="77" spans="1:8" x14ac:dyDescent="0.3">
      <c r="A77" s="25"/>
      <c r="B77" s="25"/>
      <c r="C77" s="25"/>
      <c r="D77" s="29"/>
      <c r="E77" s="24">
        <v>46101</v>
      </c>
      <c r="F77" s="25" t="s">
        <v>113</v>
      </c>
      <c r="G77" s="25"/>
      <c r="H77" s="29">
        <v>50000</v>
      </c>
    </row>
    <row r="78" spans="1:8" x14ac:dyDescent="0.3">
      <c r="A78" s="25"/>
      <c r="B78" s="25"/>
      <c r="C78" s="25"/>
      <c r="D78" s="29"/>
      <c r="E78" s="25"/>
      <c r="F78" s="25"/>
      <c r="G78" s="25"/>
      <c r="H78" s="29"/>
    </row>
    <row r="79" spans="1:8" x14ac:dyDescent="0.3">
      <c r="A79" s="25"/>
      <c r="B79" s="25"/>
      <c r="C79" s="25"/>
      <c r="D79" s="27">
        <f>SUM(D73:D78)</f>
        <v>870000</v>
      </c>
      <c r="E79" s="24"/>
      <c r="F79" s="25"/>
      <c r="G79" s="25"/>
      <c r="H79" s="27">
        <f>SUM(H73:H78)</f>
        <v>870000</v>
      </c>
    </row>
    <row r="80" spans="1:8" x14ac:dyDescent="0.3">
      <c r="A80" s="25"/>
      <c r="B80" s="25"/>
      <c r="C80" s="25"/>
      <c r="D80" s="26"/>
      <c r="E80" s="24">
        <v>46113</v>
      </c>
      <c r="F80" s="25" t="s">
        <v>116</v>
      </c>
      <c r="G80" s="25"/>
      <c r="H80" s="27">
        <f>H79</f>
        <v>870000</v>
      </c>
    </row>
    <row r="83" spans="1:8" ht="17.399999999999999" x14ac:dyDescent="0.3">
      <c r="A83" s="1" t="s">
        <v>107</v>
      </c>
      <c r="B83" s="47" t="s">
        <v>57</v>
      </c>
      <c r="C83" s="47"/>
      <c r="D83" s="47"/>
      <c r="E83" s="47"/>
      <c r="F83" s="47"/>
      <c r="G83" s="47"/>
      <c r="H83" s="23" t="s">
        <v>108</v>
      </c>
    </row>
    <row r="84" spans="1:8" ht="15.6" x14ac:dyDescent="0.3">
      <c r="A84" s="12" t="s">
        <v>37</v>
      </c>
      <c r="B84" s="12" t="s">
        <v>38</v>
      </c>
      <c r="C84" s="12" t="s">
        <v>111</v>
      </c>
      <c r="D84" s="18" t="s">
        <v>112</v>
      </c>
      <c r="E84" s="12" t="s">
        <v>37</v>
      </c>
      <c r="F84" s="12" t="s">
        <v>38</v>
      </c>
      <c r="G84" s="12" t="s">
        <v>111</v>
      </c>
      <c r="H84" s="18" t="s">
        <v>112</v>
      </c>
    </row>
    <row r="85" spans="1:8" x14ac:dyDescent="0.3">
      <c r="A85" s="24">
        <v>45797</v>
      </c>
      <c r="B85" s="25" t="s">
        <v>142</v>
      </c>
      <c r="C85" s="25"/>
      <c r="D85" s="29">
        <v>10000</v>
      </c>
      <c r="E85" s="24">
        <v>46112</v>
      </c>
      <c r="F85" s="25" t="s">
        <v>133</v>
      </c>
      <c r="G85" s="25"/>
      <c r="H85" s="29">
        <v>10000</v>
      </c>
    </row>
    <row r="86" spans="1:8" x14ac:dyDescent="0.3">
      <c r="A86" s="24"/>
      <c r="B86" s="25"/>
      <c r="C86" s="25"/>
      <c r="D86" s="29"/>
      <c r="E86" s="24"/>
      <c r="F86" s="25"/>
      <c r="G86" s="25"/>
      <c r="H86" s="29"/>
    </row>
    <row r="87" spans="1:8" x14ac:dyDescent="0.3">
      <c r="A87" s="24"/>
      <c r="B87" s="25"/>
      <c r="C87" s="25"/>
      <c r="D87" s="27">
        <f>SUM(D85:D86)</f>
        <v>10000</v>
      </c>
      <c r="E87" s="30"/>
      <c r="F87" s="28"/>
      <c r="G87" s="28"/>
      <c r="H87" s="27">
        <f>SUM(H85:H86)</f>
        <v>10000</v>
      </c>
    </row>
    <row r="88" spans="1:8" x14ac:dyDescent="0.3">
      <c r="A88" s="24">
        <v>46113</v>
      </c>
      <c r="B88" s="25" t="s">
        <v>134</v>
      </c>
      <c r="C88" s="25"/>
      <c r="D88" s="27">
        <f>H85</f>
        <v>10000</v>
      </c>
      <c r="E88" s="30"/>
      <c r="F88" s="28"/>
      <c r="G88" s="28"/>
      <c r="H88" s="27"/>
    </row>
    <row r="91" spans="1:8" ht="17.399999999999999" x14ac:dyDescent="0.3">
      <c r="A91" s="1" t="s">
        <v>107</v>
      </c>
      <c r="B91" s="47" t="s">
        <v>59</v>
      </c>
      <c r="C91" s="47"/>
      <c r="D91" s="47"/>
      <c r="E91" s="47"/>
      <c r="F91" s="47"/>
      <c r="G91" s="47"/>
      <c r="H91" s="23" t="s">
        <v>108</v>
      </c>
    </row>
    <row r="92" spans="1:8" ht="15.6" x14ac:dyDescent="0.3">
      <c r="A92" s="12" t="s">
        <v>37</v>
      </c>
      <c r="B92" s="12" t="s">
        <v>38</v>
      </c>
      <c r="C92" s="12" t="s">
        <v>111</v>
      </c>
      <c r="D92" s="18" t="s">
        <v>112</v>
      </c>
      <c r="E92" s="12" t="s">
        <v>37</v>
      </c>
      <c r="F92" s="12" t="s">
        <v>38</v>
      </c>
      <c r="G92" s="12" t="s">
        <v>111</v>
      </c>
      <c r="H92" s="18" t="s">
        <v>112</v>
      </c>
    </row>
    <row r="93" spans="1:8" x14ac:dyDescent="0.3">
      <c r="A93" s="24">
        <v>45816</v>
      </c>
      <c r="B93" s="25" t="s">
        <v>119</v>
      </c>
      <c r="C93" s="25"/>
      <c r="D93" s="29">
        <v>220000</v>
      </c>
      <c r="E93" s="24">
        <v>45843</v>
      </c>
      <c r="F93" s="25" t="s">
        <v>150</v>
      </c>
      <c r="G93" s="25"/>
      <c r="H93" s="29">
        <v>10000</v>
      </c>
    </row>
    <row r="94" spans="1:8" x14ac:dyDescent="0.3">
      <c r="A94" s="24"/>
      <c r="B94" s="25"/>
      <c r="C94" s="25"/>
      <c r="D94" s="29"/>
      <c r="E94" s="24">
        <v>45866</v>
      </c>
      <c r="F94" s="25" t="s">
        <v>113</v>
      </c>
      <c r="G94" s="25"/>
      <c r="H94" s="29">
        <v>200000</v>
      </c>
    </row>
    <row r="95" spans="1:8" x14ac:dyDescent="0.3">
      <c r="A95" s="24"/>
      <c r="B95" s="25"/>
      <c r="C95" s="25"/>
      <c r="D95" s="29"/>
      <c r="E95" s="24">
        <v>45866</v>
      </c>
      <c r="F95" s="25" t="s">
        <v>151</v>
      </c>
      <c r="G95" s="25"/>
      <c r="H95" s="29">
        <v>10000</v>
      </c>
    </row>
    <row r="96" spans="1:8" x14ac:dyDescent="0.3">
      <c r="A96" s="24"/>
      <c r="B96" s="25"/>
      <c r="C96" s="25"/>
      <c r="D96" s="29"/>
      <c r="E96" s="24"/>
      <c r="F96" s="25"/>
      <c r="G96" s="25"/>
      <c r="H96" s="29"/>
    </row>
    <row r="97" spans="1:8" x14ac:dyDescent="0.3">
      <c r="A97" s="25"/>
      <c r="B97" s="25"/>
      <c r="C97" s="25"/>
      <c r="D97" s="27">
        <f>SUM(D93:D96)</f>
        <v>220000</v>
      </c>
      <c r="E97" s="25"/>
      <c r="F97" s="25"/>
      <c r="G97" s="25"/>
      <c r="H97" s="27">
        <f>SUM(H93:H96)</f>
        <v>220000</v>
      </c>
    </row>
    <row r="100" spans="1:8" ht="17.399999999999999" x14ac:dyDescent="0.3">
      <c r="A100" s="1" t="s">
        <v>107</v>
      </c>
      <c r="B100" s="47" t="s">
        <v>61</v>
      </c>
      <c r="C100" s="47"/>
      <c r="D100" s="47"/>
      <c r="E100" s="47"/>
      <c r="F100" s="47"/>
      <c r="G100" s="47"/>
      <c r="H100" s="23" t="s">
        <v>108</v>
      </c>
    </row>
    <row r="101" spans="1:8" ht="15.6" x14ac:dyDescent="0.3">
      <c r="A101" s="12" t="s">
        <v>37</v>
      </c>
      <c r="B101" s="12" t="s">
        <v>38</v>
      </c>
      <c r="C101" s="12" t="s">
        <v>111</v>
      </c>
      <c r="D101" s="18" t="s">
        <v>112</v>
      </c>
      <c r="E101" s="12" t="s">
        <v>37</v>
      </c>
      <c r="F101" s="12" t="s">
        <v>38</v>
      </c>
      <c r="G101" s="12" t="s">
        <v>111</v>
      </c>
      <c r="H101" s="18" t="s">
        <v>112</v>
      </c>
    </row>
    <row r="102" spans="1:8" x14ac:dyDescent="0.3">
      <c r="A102" s="24">
        <v>45826</v>
      </c>
      <c r="B102" s="25" t="s">
        <v>142</v>
      </c>
      <c r="C102" s="25"/>
      <c r="D102" s="29">
        <v>25000</v>
      </c>
      <c r="E102" s="24">
        <v>46112</v>
      </c>
      <c r="F102" s="25" t="s">
        <v>133</v>
      </c>
      <c r="G102" s="25"/>
      <c r="H102" s="29">
        <v>25000</v>
      </c>
    </row>
    <row r="103" spans="1:8" x14ac:dyDescent="0.3">
      <c r="A103" s="24"/>
      <c r="B103" s="25"/>
      <c r="C103" s="25"/>
      <c r="D103" s="29"/>
      <c r="E103" s="24"/>
      <c r="F103" s="25"/>
      <c r="G103" s="25"/>
      <c r="H103" s="29"/>
    </row>
    <row r="104" spans="1:8" x14ac:dyDescent="0.3">
      <c r="A104" s="24"/>
      <c r="B104" s="25"/>
      <c r="C104" s="25"/>
      <c r="D104" s="27">
        <f>SUM(D102:D103)</f>
        <v>25000</v>
      </c>
      <c r="E104" s="30"/>
      <c r="F104" s="28"/>
      <c r="G104" s="28"/>
      <c r="H104" s="27">
        <f>SUM(H102:H103)</f>
        <v>25000</v>
      </c>
    </row>
    <row r="105" spans="1:8" x14ac:dyDescent="0.3">
      <c r="A105" s="24">
        <v>46113</v>
      </c>
      <c r="B105" s="25" t="s">
        <v>134</v>
      </c>
      <c r="C105" s="25"/>
      <c r="D105" s="27">
        <f>H102</f>
        <v>25000</v>
      </c>
      <c r="E105" s="30"/>
      <c r="F105" s="28"/>
      <c r="G105" s="28"/>
      <c r="H105" s="27"/>
    </row>
    <row r="108" spans="1:8" ht="17.399999999999999" x14ac:dyDescent="0.3">
      <c r="A108" s="1" t="s">
        <v>107</v>
      </c>
      <c r="B108" s="47" t="s">
        <v>152</v>
      </c>
      <c r="C108" s="47"/>
      <c r="D108" s="47"/>
      <c r="E108" s="47"/>
      <c r="F108" s="47"/>
      <c r="G108" s="47"/>
      <c r="H108" s="23" t="s">
        <v>108</v>
      </c>
    </row>
    <row r="109" spans="1:8" ht="15.6" x14ac:dyDescent="0.3">
      <c r="A109" s="12" t="s">
        <v>37</v>
      </c>
      <c r="B109" s="12" t="s">
        <v>38</v>
      </c>
      <c r="C109" s="12" t="s">
        <v>111</v>
      </c>
      <c r="D109" s="18" t="s">
        <v>112</v>
      </c>
      <c r="E109" s="12" t="s">
        <v>37</v>
      </c>
      <c r="F109" s="12" t="s">
        <v>38</v>
      </c>
      <c r="G109" s="12" t="s">
        <v>111</v>
      </c>
      <c r="H109" s="18" t="s">
        <v>112</v>
      </c>
    </row>
    <row r="110" spans="1:8" x14ac:dyDescent="0.3">
      <c r="A110" s="24">
        <v>46112</v>
      </c>
      <c r="B110" s="25" t="s">
        <v>115</v>
      </c>
      <c r="C110" s="25"/>
      <c r="D110" s="29">
        <f>H110</f>
        <v>15000</v>
      </c>
      <c r="E110" s="24">
        <v>45836</v>
      </c>
      <c r="F110" s="25" t="s">
        <v>137</v>
      </c>
      <c r="G110" s="25"/>
      <c r="H110" s="29">
        <v>15000</v>
      </c>
    </row>
    <row r="111" spans="1:8" x14ac:dyDescent="0.3">
      <c r="A111" s="24"/>
      <c r="B111" s="25"/>
      <c r="C111" s="25"/>
      <c r="D111" s="29"/>
      <c r="E111" s="24"/>
      <c r="F111" s="25"/>
      <c r="G111" s="25"/>
      <c r="H111" s="29"/>
    </row>
    <row r="112" spans="1:8" x14ac:dyDescent="0.3">
      <c r="A112" s="24"/>
      <c r="B112" s="25"/>
      <c r="C112" s="25"/>
      <c r="D112" s="27">
        <f>H112</f>
        <v>15000</v>
      </c>
      <c r="E112" s="24"/>
      <c r="F112" s="25"/>
      <c r="G112" s="25"/>
      <c r="H112" s="27">
        <f>SUM(H110:H111)</f>
        <v>15000</v>
      </c>
    </row>
    <row r="113" spans="1:8" x14ac:dyDescent="0.3">
      <c r="A113" s="24"/>
      <c r="B113" s="25"/>
      <c r="C113" s="25"/>
      <c r="D113" s="29"/>
      <c r="E113" s="24">
        <v>46113</v>
      </c>
      <c r="F113" s="25" t="s">
        <v>116</v>
      </c>
      <c r="G113" s="25"/>
      <c r="H113" s="27">
        <f>H112</f>
        <v>15000</v>
      </c>
    </row>
    <row r="116" spans="1:8" ht="17.399999999999999" x14ac:dyDescent="0.3">
      <c r="A116" s="1" t="s">
        <v>107</v>
      </c>
      <c r="B116" s="47" t="s">
        <v>153</v>
      </c>
      <c r="C116" s="47"/>
      <c r="D116" s="47"/>
      <c r="E116" s="47"/>
      <c r="F116" s="47"/>
      <c r="G116" s="47"/>
      <c r="H116" s="23" t="s">
        <v>108</v>
      </c>
    </row>
    <row r="117" spans="1:8" ht="15.6" x14ac:dyDescent="0.3">
      <c r="A117" s="12" t="s">
        <v>37</v>
      </c>
      <c r="B117" s="12" t="s">
        <v>38</v>
      </c>
      <c r="C117" s="12" t="s">
        <v>111</v>
      </c>
      <c r="D117" s="18" t="s">
        <v>112</v>
      </c>
      <c r="E117" s="12" t="s">
        <v>37</v>
      </c>
      <c r="F117" s="12" t="s">
        <v>38</v>
      </c>
      <c r="G117" s="12" t="s">
        <v>111</v>
      </c>
      <c r="H117" s="18" t="s">
        <v>112</v>
      </c>
    </row>
    <row r="118" spans="1:8" x14ac:dyDescent="0.3">
      <c r="A118" s="24">
        <v>45843</v>
      </c>
      <c r="B118" s="25" t="s">
        <v>122</v>
      </c>
      <c r="C118" s="25"/>
      <c r="D118" s="29">
        <v>10000</v>
      </c>
      <c r="E118" s="24">
        <v>46112</v>
      </c>
      <c r="F118" s="25" t="s">
        <v>133</v>
      </c>
      <c r="G118" s="25"/>
      <c r="H118" s="29">
        <f>D118</f>
        <v>10000</v>
      </c>
    </row>
    <row r="119" spans="1:8" x14ac:dyDescent="0.3">
      <c r="A119" s="24"/>
      <c r="B119" s="25"/>
      <c r="C119" s="25"/>
      <c r="D119" s="29"/>
      <c r="E119" s="24"/>
      <c r="F119" s="25"/>
      <c r="G119" s="25"/>
      <c r="H119" s="29"/>
    </row>
    <row r="120" spans="1:8" x14ac:dyDescent="0.3">
      <c r="A120" s="24"/>
      <c r="B120" s="25"/>
      <c r="C120" s="25"/>
      <c r="D120" s="27">
        <f>D118</f>
        <v>10000</v>
      </c>
      <c r="E120" s="30"/>
      <c r="F120" s="28"/>
      <c r="G120" s="28"/>
      <c r="H120" s="27">
        <f>H118</f>
        <v>10000</v>
      </c>
    </row>
    <row r="121" spans="1:8" x14ac:dyDescent="0.3">
      <c r="A121" s="24">
        <v>46113</v>
      </c>
      <c r="B121" s="25" t="s">
        <v>134</v>
      </c>
      <c r="C121" s="25"/>
      <c r="D121" s="27">
        <f>D120</f>
        <v>10000</v>
      </c>
      <c r="E121" s="30"/>
      <c r="F121" s="28"/>
      <c r="G121" s="28"/>
      <c r="H121" s="27"/>
    </row>
    <row r="124" spans="1:8" ht="17.399999999999999" x14ac:dyDescent="0.3">
      <c r="A124" s="1" t="s">
        <v>107</v>
      </c>
      <c r="B124" s="47" t="s">
        <v>69</v>
      </c>
      <c r="C124" s="47"/>
      <c r="D124" s="47"/>
      <c r="E124" s="47"/>
      <c r="F124" s="47"/>
      <c r="G124" s="47"/>
      <c r="H124" s="23" t="s">
        <v>108</v>
      </c>
    </row>
    <row r="125" spans="1:8" ht="15.6" x14ac:dyDescent="0.3">
      <c r="A125" s="12" t="s">
        <v>37</v>
      </c>
      <c r="B125" s="12" t="s">
        <v>38</v>
      </c>
      <c r="C125" s="12" t="s">
        <v>111</v>
      </c>
      <c r="D125" s="18" t="s">
        <v>112</v>
      </c>
      <c r="E125" s="12" t="s">
        <v>37</v>
      </c>
      <c r="F125" s="12" t="s">
        <v>38</v>
      </c>
      <c r="G125" s="12" t="s">
        <v>111</v>
      </c>
      <c r="H125" s="18" t="s">
        <v>112</v>
      </c>
    </row>
    <row r="126" spans="1:8" x14ac:dyDescent="0.3">
      <c r="A126" s="24">
        <v>45866</v>
      </c>
      <c r="B126" s="25" t="s">
        <v>122</v>
      </c>
      <c r="C126" s="25"/>
      <c r="D126" s="29">
        <v>10000</v>
      </c>
      <c r="E126" s="24">
        <v>46112</v>
      </c>
      <c r="F126" s="25" t="s">
        <v>133</v>
      </c>
      <c r="G126" s="25"/>
      <c r="H126" s="29">
        <f>D130</f>
        <v>20000</v>
      </c>
    </row>
    <row r="127" spans="1:8" x14ac:dyDescent="0.3">
      <c r="A127" s="24">
        <v>46037</v>
      </c>
      <c r="B127" s="25" t="s">
        <v>154</v>
      </c>
      <c r="C127" s="25"/>
      <c r="D127" s="29">
        <v>10000</v>
      </c>
      <c r="E127" s="24"/>
      <c r="F127" s="25"/>
      <c r="G127" s="25"/>
      <c r="H127" s="29"/>
    </row>
    <row r="128" spans="1:8" x14ac:dyDescent="0.3">
      <c r="A128" s="24"/>
      <c r="B128" s="25"/>
      <c r="C128" s="25"/>
      <c r="D128" s="29"/>
      <c r="E128" s="24"/>
      <c r="F128" s="25"/>
      <c r="G128" s="25"/>
      <c r="H128" s="29"/>
    </row>
    <row r="129" spans="1:8" x14ac:dyDescent="0.3">
      <c r="A129" s="24"/>
      <c r="B129" s="25"/>
      <c r="C129" s="25"/>
      <c r="D129" s="27">
        <f>SUM(D126:D128)</f>
        <v>20000</v>
      </c>
      <c r="E129" s="30"/>
      <c r="F129" s="28"/>
      <c r="G129" s="28"/>
      <c r="H129" s="27">
        <f>H126</f>
        <v>20000</v>
      </c>
    </row>
    <row r="130" spans="1:8" x14ac:dyDescent="0.3">
      <c r="A130" s="24">
        <v>46113</v>
      </c>
      <c r="B130" s="25" t="s">
        <v>134</v>
      </c>
      <c r="C130" s="25"/>
      <c r="D130" s="27">
        <f>D129</f>
        <v>20000</v>
      </c>
      <c r="E130" s="30"/>
      <c r="F130" s="28"/>
      <c r="G130" s="28"/>
      <c r="H130" s="27"/>
    </row>
    <row r="133" spans="1:8" ht="17.399999999999999" x14ac:dyDescent="0.3">
      <c r="A133" s="1" t="s">
        <v>107</v>
      </c>
      <c r="B133" s="47" t="s">
        <v>71</v>
      </c>
      <c r="C133" s="47"/>
      <c r="D133" s="47"/>
      <c r="E133" s="47"/>
      <c r="F133" s="47"/>
      <c r="G133" s="47"/>
      <c r="H133" s="23" t="s">
        <v>108</v>
      </c>
    </row>
    <row r="134" spans="1:8" ht="15.6" x14ac:dyDescent="0.3">
      <c r="A134" s="12" t="s">
        <v>37</v>
      </c>
      <c r="B134" s="12" t="s">
        <v>38</v>
      </c>
      <c r="C134" s="12" t="s">
        <v>111</v>
      </c>
      <c r="D134" s="18" t="s">
        <v>112</v>
      </c>
      <c r="E134" s="12" t="s">
        <v>37</v>
      </c>
      <c r="F134" s="12" t="s">
        <v>38</v>
      </c>
      <c r="G134" s="12" t="s">
        <v>111</v>
      </c>
      <c r="H134" s="18" t="s">
        <v>112</v>
      </c>
    </row>
    <row r="135" spans="1:8" x14ac:dyDescent="0.3">
      <c r="A135" s="24">
        <v>45887</v>
      </c>
      <c r="B135" s="25" t="s">
        <v>140</v>
      </c>
      <c r="C135" s="25"/>
      <c r="D135" s="29">
        <v>35000</v>
      </c>
      <c r="E135" s="24">
        <v>46112</v>
      </c>
      <c r="F135" s="25" t="s">
        <v>133</v>
      </c>
      <c r="G135" s="25"/>
      <c r="H135" s="29">
        <f>D135</f>
        <v>35000</v>
      </c>
    </row>
    <row r="136" spans="1:8" x14ac:dyDescent="0.3">
      <c r="A136" s="24"/>
      <c r="B136" s="25"/>
      <c r="C136" s="25"/>
      <c r="D136" s="29"/>
      <c r="E136" s="24"/>
      <c r="F136" s="25"/>
      <c r="G136" s="25"/>
      <c r="H136" s="29"/>
    </row>
    <row r="137" spans="1:8" x14ac:dyDescent="0.3">
      <c r="A137" s="24"/>
      <c r="B137" s="25"/>
      <c r="C137" s="25"/>
      <c r="D137" s="27">
        <f>D135</f>
        <v>35000</v>
      </c>
      <c r="E137" s="30"/>
      <c r="F137" s="28"/>
      <c r="G137" s="28"/>
      <c r="H137" s="27">
        <f>H135</f>
        <v>35000</v>
      </c>
    </row>
    <row r="138" spans="1:8" x14ac:dyDescent="0.3">
      <c r="A138" s="24">
        <v>46113</v>
      </c>
      <c r="B138" s="25" t="s">
        <v>134</v>
      </c>
      <c r="C138" s="25"/>
      <c r="D138" s="27">
        <f>D137</f>
        <v>35000</v>
      </c>
      <c r="E138" s="30"/>
      <c r="F138" s="28"/>
      <c r="G138" s="28"/>
      <c r="H138" s="27"/>
    </row>
    <row r="141" spans="1:8" ht="17.399999999999999" x14ac:dyDescent="0.3">
      <c r="A141" s="1" t="s">
        <v>107</v>
      </c>
      <c r="B141" s="47" t="s">
        <v>73</v>
      </c>
      <c r="C141" s="47"/>
      <c r="D141" s="47"/>
      <c r="E141" s="47"/>
      <c r="F141" s="47"/>
      <c r="G141" s="47"/>
      <c r="H141" s="23" t="s">
        <v>108</v>
      </c>
    </row>
    <row r="142" spans="1:8" ht="15.6" x14ac:dyDescent="0.3">
      <c r="A142" s="12" t="s">
        <v>37</v>
      </c>
      <c r="B142" s="12" t="s">
        <v>38</v>
      </c>
      <c r="C142" s="12" t="s">
        <v>111</v>
      </c>
      <c r="D142" s="18" t="s">
        <v>112</v>
      </c>
      <c r="E142" s="12" t="s">
        <v>37</v>
      </c>
      <c r="F142" s="12" t="s">
        <v>38</v>
      </c>
      <c r="G142" s="12" t="s">
        <v>111</v>
      </c>
      <c r="H142" s="18" t="s">
        <v>112</v>
      </c>
    </row>
    <row r="143" spans="1:8" x14ac:dyDescent="0.3">
      <c r="A143" s="24">
        <v>45894</v>
      </c>
      <c r="B143" s="25" t="s">
        <v>140</v>
      </c>
      <c r="C143" s="25"/>
      <c r="D143" s="29">
        <v>30000</v>
      </c>
      <c r="E143" s="24">
        <v>46112</v>
      </c>
      <c r="F143" s="25" t="s">
        <v>133</v>
      </c>
      <c r="G143" s="25"/>
      <c r="H143" s="29">
        <f>D143</f>
        <v>30000</v>
      </c>
    </row>
    <row r="144" spans="1:8" x14ac:dyDescent="0.3">
      <c r="A144" s="24"/>
      <c r="B144" s="25"/>
      <c r="C144" s="25"/>
      <c r="D144" s="29"/>
      <c r="E144" s="24"/>
      <c r="F144" s="25"/>
      <c r="G144" s="25"/>
      <c r="H144" s="29"/>
    </row>
    <row r="145" spans="1:8" x14ac:dyDescent="0.3">
      <c r="A145" s="24"/>
      <c r="B145" s="25"/>
      <c r="C145" s="25"/>
      <c r="D145" s="27">
        <f>D143</f>
        <v>30000</v>
      </c>
      <c r="E145" s="30"/>
      <c r="F145" s="28"/>
      <c r="G145" s="28"/>
      <c r="H145" s="27">
        <f>H143</f>
        <v>30000</v>
      </c>
    </row>
    <row r="146" spans="1:8" x14ac:dyDescent="0.3">
      <c r="A146" s="24">
        <v>46113</v>
      </c>
      <c r="B146" s="25" t="s">
        <v>134</v>
      </c>
      <c r="C146" s="25"/>
      <c r="D146" s="27">
        <f>D145</f>
        <v>30000</v>
      </c>
      <c r="E146" s="30"/>
      <c r="F146" s="28"/>
      <c r="G146" s="28"/>
      <c r="H146" s="27"/>
    </row>
    <row r="149" spans="1:8" ht="17.399999999999999" x14ac:dyDescent="0.3">
      <c r="A149" s="1" t="s">
        <v>107</v>
      </c>
      <c r="B149" s="47" t="s">
        <v>155</v>
      </c>
      <c r="C149" s="47"/>
      <c r="D149" s="47"/>
      <c r="E149" s="47"/>
      <c r="F149" s="47"/>
      <c r="G149" s="47"/>
      <c r="H149" s="23" t="s">
        <v>108</v>
      </c>
    </row>
    <row r="150" spans="1:8" ht="15.6" x14ac:dyDescent="0.3">
      <c r="A150" s="12" t="s">
        <v>37</v>
      </c>
      <c r="B150" s="12" t="s">
        <v>38</v>
      </c>
      <c r="C150" s="12" t="s">
        <v>111</v>
      </c>
      <c r="D150" s="18" t="s">
        <v>112</v>
      </c>
      <c r="E150" s="12" t="s">
        <v>37</v>
      </c>
      <c r="F150" s="12" t="s">
        <v>38</v>
      </c>
      <c r="G150" s="12" t="s">
        <v>111</v>
      </c>
      <c r="H150" s="18" t="s">
        <v>112</v>
      </c>
    </row>
    <row r="151" spans="1:8" x14ac:dyDescent="0.3">
      <c r="A151" s="24">
        <v>46112</v>
      </c>
      <c r="B151" s="25" t="s">
        <v>115</v>
      </c>
      <c r="C151" s="25"/>
      <c r="D151" s="29">
        <f>H151</f>
        <v>180000</v>
      </c>
      <c r="E151" s="24">
        <v>45905</v>
      </c>
      <c r="F151" s="25" t="s">
        <v>118</v>
      </c>
      <c r="G151" s="25"/>
      <c r="H151" s="29">
        <v>180000</v>
      </c>
    </row>
    <row r="152" spans="1:8" x14ac:dyDescent="0.3">
      <c r="A152" s="24"/>
      <c r="B152" s="25"/>
      <c r="C152" s="25"/>
      <c r="D152" s="29"/>
      <c r="E152" s="24"/>
      <c r="F152" s="25"/>
      <c r="G152" s="25"/>
      <c r="H152" s="29"/>
    </row>
    <row r="153" spans="1:8" x14ac:dyDescent="0.3">
      <c r="A153" s="24"/>
      <c r="B153" s="25"/>
      <c r="C153" s="25"/>
      <c r="D153" s="27">
        <f>H153</f>
        <v>180000</v>
      </c>
      <c r="E153" s="24"/>
      <c r="F153" s="25"/>
      <c r="G153" s="25"/>
      <c r="H153" s="27">
        <f>SUM(H151:H152)</f>
        <v>180000</v>
      </c>
    </row>
    <row r="154" spans="1:8" x14ac:dyDescent="0.3">
      <c r="A154" s="24"/>
      <c r="B154" s="25"/>
      <c r="C154" s="25"/>
      <c r="D154" s="29"/>
      <c r="E154" s="24">
        <v>46113</v>
      </c>
      <c r="F154" s="25" t="s">
        <v>116</v>
      </c>
      <c r="G154" s="25"/>
      <c r="H154" s="27">
        <f>H153</f>
        <v>180000</v>
      </c>
    </row>
    <row r="157" spans="1:8" ht="17.399999999999999" x14ac:dyDescent="0.3">
      <c r="A157" s="1" t="s">
        <v>107</v>
      </c>
      <c r="B157" s="47" t="s">
        <v>156</v>
      </c>
      <c r="C157" s="47"/>
      <c r="D157" s="47"/>
      <c r="E157" s="47"/>
      <c r="F157" s="47"/>
      <c r="G157" s="47"/>
      <c r="H157" s="23" t="s">
        <v>108</v>
      </c>
    </row>
    <row r="158" spans="1:8" ht="15.6" x14ac:dyDescent="0.3">
      <c r="A158" s="12" t="s">
        <v>37</v>
      </c>
      <c r="B158" s="12" t="s">
        <v>38</v>
      </c>
      <c r="C158" s="12" t="s">
        <v>111</v>
      </c>
      <c r="D158" s="18" t="s">
        <v>112</v>
      </c>
      <c r="E158" s="12" t="s">
        <v>37</v>
      </c>
      <c r="F158" s="12" t="s">
        <v>38</v>
      </c>
      <c r="G158" s="12" t="s">
        <v>111</v>
      </c>
      <c r="H158" s="18" t="s">
        <v>112</v>
      </c>
    </row>
    <row r="159" spans="1:8" x14ac:dyDescent="0.3">
      <c r="A159" s="24">
        <v>46112</v>
      </c>
      <c r="B159" s="25" t="s">
        <v>115</v>
      </c>
      <c r="C159" s="25"/>
      <c r="D159" s="29">
        <f>H159</f>
        <v>10000</v>
      </c>
      <c r="E159" s="24">
        <v>45908</v>
      </c>
      <c r="F159" s="25" t="s">
        <v>137</v>
      </c>
      <c r="G159" s="25"/>
      <c r="H159" s="29">
        <v>10000</v>
      </c>
    </row>
    <row r="160" spans="1:8" x14ac:dyDescent="0.3">
      <c r="A160" s="24"/>
      <c r="B160" s="25"/>
      <c r="C160" s="25"/>
      <c r="D160" s="29"/>
      <c r="E160" s="24"/>
      <c r="F160" s="25"/>
      <c r="G160" s="25"/>
      <c r="H160" s="29"/>
    </row>
    <row r="161" spans="1:8" x14ac:dyDescent="0.3">
      <c r="A161" s="24"/>
      <c r="B161" s="25"/>
      <c r="C161" s="25"/>
      <c r="D161" s="27">
        <f>H161</f>
        <v>10000</v>
      </c>
      <c r="E161" s="24"/>
      <c r="F161" s="25"/>
      <c r="G161" s="25"/>
      <c r="H161" s="27">
        <f>SUM(H159:H160)</f>
        <v>10000</v>
      </c>
    </row>
    <row r="162" spans="1:8" x14ac:dyDescent="0.3">
      <c r="A162" s="24"/>
      <c r="B162" s="25"/>
      <c r="C162" s="25"/>
      <c r="D162" s="29"/>
      <c r="E162" s="24">
        <v>46113</v>
      </c>
      <c r="F162" s="25" t="s">
        <v>116</v>
      </c>
      <c r="G162" s="25"/>
      <c r="H162" s="27">
        <f>H161</f>
        <v>10000</v>
      </c>
    </row>
    <row r="165" spans="1:8" ht="17.399999999999999" x14ac:dyDescent="0.3">
      <c r="A165" s="1" t="s">
        <v>107</v>
      </c>
      <c r="B165" s="47" t="s">
        <v>157</v>
      </c>
      <c r="C165" s="47"/>
      <c r="D165" s="47"/>
      <c r="E165" s="47"/>
      <c r="F165" s="47"/>
      <c r="G165" s="47"/>
      <c r="H165" s="23" t="s">
        <v>108</v>
      </c>
    </row>
    <row r="166" spans="1:8" ht="15.6" x14ac:dyDescent="0.3">
      <c r="A166" s="12" t="s">
        <v>37</v>
      </c>
      <c r="B166" s="12" t="s">
        <v>38</v>
      </c>
      <c r="C166" s="12" t="s">
        <v>111</v>
      </c>
      <c r="D166" s="18" t="s">
        <v>112</v>
      </c>
      <c r="E166" s="12" t="s">
        <v>37</v>
      </c>
      <c r="F166" s="12" t="s">
        <v>38</v>
      </c>
      <c r="G166" s="12" t="s">
        <v>111</v>
      </c>
      <c r="H166" s="18" t="s">
        <v>112</v>
      </c>
    </row>
    <row r="167" spans="1:8" x14ac:dyDescent="0.3">
      <c r="A167" s="24">
        <v>45918</v>
      </c>
      <c r="B167" s="25" t="s">
        <v>119</v>
      </c>
      <c r="C167" s="25"/>
      <c r="D167" s="29">
        <v>250000</v>
      </c>
      <c r="E167" s="24">
        <v>46037</v>
      </c>
      <c r="F167" s="25" t="s">
        <v>113</v>
      </c>
      <c r="G167" s="25"/>
      <c r="H167" s="29">
        <v>240000</v>
      </c>
    </row>
    <row r="168" spans="1:8" x14ac:dyDescent="0.3">
      <c r="A168" s="24"/>
      <c r="B168" s="25"/>
      <c r="C168" s="25"/>
      <c r="D168" s="29"/>
      <c r="E168" s="24">
        <v>46037</v>
      </c>
      <c r="F168" s="25" t="s">
        <v>151</v>
      </c>
      <c r="G168" s="25"/>
      <c r="H168" s="29">
        <v>10000</v>
      </c>
    </row>
    <row r="169" spans="1:8" x14ac:dyDescent="0.3">
      <c r="A169" s="24"/>
      <c r="B169" s="25"/>
      <c r="C169" s="25"/>
      <c r="D169" s="29"/>
      <c r="E169" s="24"/>
      <c r="F169" s="25"/>
      <c r="G169" s="25"/>
      <c r="H169" s="29"/>
    </row>
    <row r="170" spans="1:8" x14ac:dyDescent="0.3">
      <c r="A170" s="24"/>
      <c r="B170" s="25"/>
      <c r="C170" s="25"/>
      <c r="D170" s="27">
        <f>SUM(D167:D169)</f>
        <v>250000</v>
      </c>
      <c r="E170" s="30"/>
      <c r="F170" s="28"/>
      <c r="G170" s="28"/>
      <c r="H170" s="27">
        <f>SUM(H167:H169)</f>
        <v>250000</v>
      </c>
    </row>
    <row r="173" spans="1:8" ht="17.399999999999999" x14ac:dyDescent="0.3">
      <c r="A173" s="1" t="s">
        <v>107</v>
      </c>
      <c r="B173" s="47" t="s">
        <v>158</v>
      </c>
      <c r="C173" s="47"/>
      <c r="D173" s="47"/>
      <c r="E173" s="47"/>
      <c r="F173" s="47"/>
      <c r="G173" s="47"/>
      <c r="H173" s="23" t="s">
        <v>108</v>
      </c>
    </row>
    <row r="174" spans="1:8" ht="15.6" x14ac:dyDescent="0.3">
      <c r="A174" s="12" t="s">
        <v>37</v>
      </c>
      <c r="B174" s="12" t="s">
        <v>38</v>
      </c>
      <c r="C174" s="12" t="s">
        <v>111</v>
      </c>
      <c r="D174" s="18" t="s">
        <v>112</v>
      </c>
      <c r="E174" s="12" t="s">
        <v>37</v>
      </c>
      <c r="F174" s="12" t="s">
        <v>38</v>
      </c>
      <c r="G174" s="12" t="s">
        <v>111</v>
      </c>
      <c r="H174" s="18" t="s">
        <v>112</v>
      </c>
    </row>
    <row r="175" spans="1:8" x14ac:dyDescent="0.3">
      <c r="A175" s="24">
        <v>45950</v>
      </c>
      <c r="B175" s="25" t="s">
        <v>142</v>
      </c>
      <c r="C175" s="25"/>
      <c r="D175" s="29">
        <v>12000</v>
      </c>
      <c r="E175" s="24">
        <v>46112</v>
      </c>
      <c r="F175" s="25" t="s">
        <v>133</v>
      </c>
      <c r="G175" s="25"/>
      <c r="H175" s="29">
        <f>D175</f>
        <v>12000</v>
      </c>
    </row>
    <row r="176" spans="1:8" x14ac:dyDescent="0.3">
      <c r="A176" s="24"/>
      <c r="B176" s="25"/>
      <c r="C176" s="25"/>
      <c r="D176" s="29"/>
      <c r="E176" s="24"/>
      <c r="F176" s="25"/>
      <c r="G176" s="25"/>
      <c r="H176" s="29"/>
    </row>
    <row r="177" spans="1:8" x14ac:dyDescent="0.3">
      <c r="A177" s="24"/>
      <c r="B177" s="25"/>
      <c r="C177" s="25"/>
      <c r="D177" s="27">
        <f>D175</f>
        <v>12000</v>
      </c>
      <c r="E177" s="30"/>
      <c r="F177" s="28"/>
      <c r="G177" s="28"/>
      <c r="H177" s="27">
        <f>H175</f>
        <v>12000</v>
      </c>
    </row>
    <row r="178" spans="1:8" x14ac:dyDescent="0.3">
      <c r="A178" s="24">
        <v>46113</v>
      </c>
      <c r="B178" s="25" t="s">
        <v>134</v>
      </c>
      <c r="C178" s="25"/>
      <c r="D178" s="27">
        <f>D177</f>
        <v>12000</v>
      </c>
      <c r="E178" s="30"/>
      <c r="F178" s="28"/>
      <c r="G178" s="28"/>
      <c r="H178" s="27"/>
    </row>
    <row r="181" spans="1:8" ht="17.399999999999999" x14ac:dyDescent="0.3">
      <c r="A181" s="1" t="s">
        <v>107</v>
      </c>
      <c r="B181" s="47" t="s">
        <v>159</v>
      </c>
      <c r="C181" s="47"/>
      <c r="D181" s="47"/>
      <c r="E181" s="47"/>
      <c r="F181" s="47"/>
      <c r="G181" s="47"/>
      <c r="H181" s="23" t="s">
        <v>108</v>
      </c>
    </row>
    <row r="182" spans="1:8" ht="15.6" x14ac:dyDescent="0.3">
      <c r="A182" s="12" t="s">
        <v>37</v>
      </c>
      <c r="B182" s="12" t="s">
        <v>38</v>
      </c>
      <c r="C182" s="12" t="s">
        <v>111</v>
      </c>
      <c r="D182" s="18" t="s">
        <v>112</v>
      </c>
      <c r="E182" s="12" t="s">
        <v>37</v>
      </c>
      <c r="F182" s="12" t="s">
        <v>38</v>
      </c>
      <c r="G182" s="12" t="s">
        <v>111</v>
      </c>
      <c r="H182" s="18" t="s">
        <v>112</v>
      </c>
    </row>
    <row r="183" spans="1:8" x14ac:dyDescent="0.3">
      <c r="A183" s="24">
        <v>46112</v>
      </c>
      <c r="B183" s="25" t="s">
        <v>115</v>
      </c>
      <c r="C183" s="25"/>
      <c r="D183" s="29">
        <f>H183</f>
        <v>15000</v>
      </c>
      <c r="E183" s="24">
        <v>45955</v>
      </c>
      <c r="F183" s="25" t="s">
        <v>160</v>
      </c>
      <c r="G183" s="25"/>
      <c r="H183" s="29">
        <v>15000</v>
      </c>
    </row>
    <row r="184" spans="1:8" x14ac:dyDescent="0.3">
      <c r="A184" s="24"/>
      <c r="B184" s="25"/>
      <c r="C184" s="25"/>
      <c r="D184" s="29"/>
      <c r="E184" s="24"/>
      <c r="F184" s="25"/>
      <c r="G184" s="25"/>
      <c r="H184" s="29"/>
    </row>
    <row r="185" spans="1:8" x14ac:dyDescent="0.3">
      <c r="A185" s="24"/>
      <c r="B185" s="25"/>
      <c r="C185" s="25"/>
      <c r="D185" s="27">
        <f>H185</f>
        <v>15000</v>
      </c>
      <c r="E185" s="24"/>
      <c r="F185" s="25"/>
      <c r="G185" s="25"/>
      <c r="H185" s="27">
        <f>SUM(H183:H184)</f>
        <v>15000</v>
      </c>
    </row>
    <row r="186" spans="1:8" x14ac:dyDescent="0.3">
      <c r="A186" s="24"/>
      <c r="B186" s="25"/>
      <c r="C186" s="25"/>
      <c r="D186" s="29"/>
      <c r="E186" s="24">
        <v>46113</v>
      </c>
      <c r="F186" s="25" t="s">
        <v>116</v>
      </c>
      <c r="G186" s="25"/>
      <c r="H186" s="27">
        <f>H185</f>
        <v>15000</v>
      </c>
    </row>
    <row r="189" spans="1:8" ht="17.399999999999999" x14ac:dyDescent="0.3">
      <c r="A189" s="1" t="s">
        <v>107</v>
      </c>
      <c r="B189" s="47" t="s">
        <v>161</v>
      </c>
      <c r="C189" s="47"/>
      <c r="D189" s="47"/>
      <c r="E189" s="47"/>
      <c r="F189" s="47"/>
      <c r="G189" s="47"/>
      <c r="H189" s="23" t="s">
        <v>108</v>
      </c>
    </row>
    <row r="190" spans="1:8" ht="15.6" x14ac:dyDescent="0.3">
      <c r="A190" s="12" t="s">
        <v>37</v>
      </c>
      <c r="B190" s="12" t="s">
        <v>38</v>
      </c>
      <c r="C190" s="12" t="s">
        <v>111</v>
      </c>
      <c r="D190" s="18" t="s">
        <v>112</v>
      </c>
      <c r="E190" s="12" t="s">
        <v>37</v>
      </c>
      <c r="F190" s="12" t="s">
        <v>38</v>
      </c>
      <c r="G190" s="12" t="s">
        <v>111</v>
      </c>
      <c r="H190" s="18" t="s">
        <v>112</v>
      </c>
    </row>
    <row r="191" spans="1:8" x14ac:dyDescent="0.3">
      <c r="A191" s="24">
        <v>45958</v>
      </c>
      <c r="B191" s="25" t="s">
        <v>142</v>
      </c>
      <c r="C191" s="25"/>
      <c r="D191" s="29">
        <v>8000</v>
      </c>
      <c r="E191" s="24">
        <v>46112</v>
      </c>
      <c r="F191" s="25" t="s">
        <v>133</v>
      </c>
      <c r="G191" s="25"/>
      <c r="H191" s="29">
        <f>D191</f>
        <v>8000</v>
      </c>
    </row>
    <row r="192" spans="1:8" x14ac:dyDescent="0.3">
      <c r="A192" s="24"/>
      <c r="B192" s="25"/>
      <c r="C192" s="25"/>
      <c r="D192" s="29"/>
      <c r="E192" s="24"/>
      <c r="F192" s="25"/>
      <c r="G192" s="25"/>
      <c r="H192" s="29"/>
    </row>
    <row r="193" spans="1:8" x14ac:dyDescent="0.3">
      <c r="A193" s="24"/>
      <c r="B193" s="25"/>
      <c r="C193" s="25"/>
      <c r="D193" s="27">
        <f>D191</f>
        <v>8000</v>
      </c>
      <c r="E193" s="30"/>
      <c r="F193" s="28"/>
      <c r="G193" s="28"/>
      <c r="H193" s="27">
        <f>H191</f>
        <v>8000</v>
      </c>
    </row>
    <row r="194" spans="1:8" x14ac:dyDescent="0.3">
      <c r="A194" s="24">
        <v>46113</v>
      </c>
      <c r="B194" s="25" t="s">
        <v>134</v>
      </c>
      <c r="C194" s="25"/>
      <c r="D194" s="27">
        <f>D193</f>
        <v>8000</v>
      </c>
      <c r="E194" s="30"/>
      <c r="F194" s="28"/>
      <c r="G194" s="28"/>
      <c r="H194" s="27"/>
    </row>
    <row r="197" spans="1:8" ht="17.399999999999999" x14ac:dyDescent="0.3">
      <c r="A197" s="1" t="s">
        <v>107</v>
      </c>
      <c r="B197" s="47" t="s">
        <v>87</v>
      </c>
      <c r="C197" s="47"/>
      <c r="D197" s="47"/>
      <c r="E197" s="47"/>
      <c r="F197" s="47"/>
      <c r="G197" s="47"/>
      <c r="H197" s="23" t="s">
        <v>108</v>
      </c>
    </row>
    <row r="198" spans="1:8" ht="15.6" x14ac:dyDescent="0.3">
      <c r="A198" s="12" t="s">
        <v>37</v>
      </c>
      <c r="B198" s="12" t="s">
        <v>38</v>
      </c>
      <c r="C198" s="12" t="s">
        <v>111</v>
      </c>
      <c r="D198" s="18" t="s">
        <v>112</v>
      </c>
      <c r="E198" s="12" t="s">
        <v>37</v>
      </c>
      <c r="F198" s="12" t="s">
        <v>38</v>
      </c>
      <c r="G198" s="12" t="s">
        <v>111</v>
      </c>
      <c r="H198" s="18" t="s">
        <v>112</v>
      </c>
    </row>
    <row r="199" spans="1:8" x14ac:dyDescent="0.3">
      <c r="A199" s="24">
        <v>45969</v>
      </c>
      <c r="B199" s="25" t="s">
        <v>142</v>
      </c>
      <c r="C199" s="25"/>
      <c r="D199" s="29">
        <v>5000</v>
      </c>
      <c r="E199" s="24">
        <v>46112</v>
      </c>
      <c r="F199" s="25" t="s">
        <v>133</v>
      </c>
      <c r="G199" s="25"/>
      <c r="H199" s="29">
        <f>D199</f>
        <v>5000</v>
      </c>
    </row>
    <row r="200" spans="1:8" x14ac:dyDescent="0.3">
      <c r="A200" s="24"/>
      <c r="B200" s="25"/>
      <c r="C200" s="25"/>
      <c r="D200" s="29"/>
      <c r="E200" s="24"/>
      <c r="F200" s="25"/>
      <c r="G200" s="25"/>
      <c r="H200" s="29"/>
    </row>
    <row r="201" spans="1:8" x14ac:dyDescent="0.3">
      <c r="A201" s="24"/>
      <c r="B201" s="25"/>
      <c r="C201" s="25"/>
      <c r="D201" s="27">
        <f>D199</f>
        <v>5000</v>
      </c>
      <c r="E201" s="30"/>
      <c r="F201" s="28"/>
      <c r="G201" s="28"/>
      <c r="H201" s="27">
        <f>H199</f>
        <v>5000</v>
      </c>
    </row>
    <row r="202" spans="1:8" x14ac:dyDescent="0.3">
      <c r="A202" s="24">
        <v>46113</v>
      </c>
      <c r="B202" s="25" t="s">
        <v>134</v>
      </c>
      <c r="C202" s="25"/>
      <c r="D202" s="27">
        <f>D201</f>
        <v>5000</v>
      </c>
      <c r="E202" s="30"/>
      <c r="F202" s="28"/>
      <c r="G202" s="28"/>
      <c r="H202" s="27"/>
    </row>
    <row r="205" spans="1:8" ht="17.399999999999999" x14ac:dyDescent="0.3">
      <c r="A205" s="1" t="s">
        <v>107</v>
      </c>
      <c r="B205" s="47" t="s">
        <v>162</v>
      </c>
      <c r="C205" s="47"/>
      <c r="D205" s="47"/>
      <c r="E205" s="47"/>
      <c r="F205" s="47"/>
      <c r="G205" s="47"/>
      <c r="H205" s="23" t="s">
        <v>108</v>
      </c>
    </row>
    <row r="206" spans="1:8" ht="15.6" x14ac:dyDescent="0.3">
      <c r="A206" s="12" t="s">
        <v>37</v>
      </c>
      <c r="B206" s="12" t="s">
        <v>38</v>
      </c>
      <c r="C206" s="12" t="s">
        <v>111</v>
      </c>
      <c r="D206" s="18" t="s">
        <v>112</v>
      </c>
      <c r="E206" s="12" t="s">
        <v>37</v>
      </c>
      <c r="F206" s="12" t="s">
        <v>38</v>
      </c>
      <c r="G206" s="12" t="s">
        <v>111</v>
      </c>
      <c r="H206" s="18" t="s">
        <v>112</v>
      </c>
    </row>
    <row r="207" spans="1:8" x14ac:dyDescent="0.3">
      <c r="A207" s="24">
        <v>45979</v>
      </c>
      <c r="B207" s="25" t="s">
        <v>142</v>
      </c>
      <c r="C207" s="25"/>
      <c r="D207" s="29">
        <v>15000</v>
      </c>
      <c r="E207" s="24">
        <v>46112</v>
      </c>
      <c r="F207" s="25" t="s">
        <v>133</v>
      </c>
      <c r="G207" s="25"/>
      <c r="H207" s="29">
        <f>D207</f>
        <v>15000</v>
      </c>
    </row>
    <row r="208" spans="1:8" x14ac:dyDescent="0.3">
      <c r="A208" s="24"/>
      <c r="B208" s="25"/>
      <c r="C208" s="25"/>
      <c r="D208" s="29"/>
      <c r="E208" s="24"/>
      <c r="F208" s="25"/>
      <c r="G208" s="25"/>
      <c r="H208" s="29"/>
    </row>
    <row r="209" spans="1:8" x14ac:dyDescent="0.3">
      <c r="A209" s="24"/>
      <c r="B209" s="25"/>
      <c r="C209" s="25"/>
      <c r="D209" s="27">
        <f>D207</f>
        <v>15000</v>
      </c>
      <c r="E209" s="30"/>
      <c r="F209" s="28"/>
      <c r="G209" s="28"/>
      <c r="H209" s="27">
        <f>H207</f>
        <v>15000</v>
      </c>
    </row>
    <row r="210" spans="1:8" x14ac:dyDescent="0.3">
      <c r="A210" s="24">
        <v>46113</v>
      </c>
      <c r="B210" s="25" t="s">
        <v>134</v>
      </c>
      <c r="C210" s="25"/>
      <c r="D210" s="27">
        <f>D209</f>
        <v>15000</v>
      </c>
      <c r="E210" s="30"/>
      <c r="F210" s="28"/>
      <c r="G210" s="28"/>
      <c r="H210" s="27"/>
    </row>
    <row r="213" spans="1:8" ht="17.399999999999999" x14ac:dyDescent="0.3">
      <c r="A213" s="1" t="s">
        <v>107</v>
      </c>
      <c r="B213" s="47" t="s">
        <v>163</v>
      </c>
      <c r="C213" s="47"/>
      <c r="D213" s="47"/>
      <c r="E213" s="47"/>
      <c r="F213" s="47"/>
      <c r="G213" s="47"/>
      <c r="H213" s="23" t="s">
        <v>108</v>
      </c>
    </row>
    <row r="214" spans="1:8" ht="15.6" x14ac:dyDescent="0.3">
      <c r="A214" s="12" t="s">
        <v>37</v>
      </c>
      <c r="B214" s="12" t="s">
        <v>38</v>
      </c>
      <c r="C214" s="12" t="s">
        <v>111</v>
      </c>
      <c r="D214" s="18" t="s">
        <v>112</v>
      </c>
      <c r="E214" s="12" t="s">
        <v>37</v>
      </c>
      <c r="F214" s="12" t="s">
        <v>38</v>
      </c>
      <c r="G214" s="12" t="s">
        <v>111</v>
      </c>
      <c r="H214" s="18" t="s">
        <v>112</v>
      </c>
    </row>
    <row r="215" spans="1:8" x14ac:dyDescent="0.3">
      <c r="A215" s="24">
        <v>46006</v>
      </c>
      <c r="B215" s="25" t="s">
        <v>140</v>
      </c>
      <c r="C215" s="25"/>
      <c r="D215" s="29">
        <v>50000</v>
      </c>
      <c r="E215" s="24">
        <v>46112</v>
      </c>
      <c r="F215" s="25" t="s">
        <v>133</v>
      </c>
      <c r="G215" s="25"/>
      <c r="H215" s="29">
        <f>D215</f>
        <v>50000</v>
      </c>
    </row>
    <row r="216" spans="1:8" x14ac:dyDescent="0.3">
      <c r="A216" s="24"/>
      <c r="B216" s="25"/>
      <c r="C216" s="25"/>
      <c r="D216" s="29"/>
      <c r="E216" s="24"/>
      <c r="F216" s="25"/>
      <c r="G216" s="25"/>
      <c r="H216" s="29"/>
    </row>
    <row r="217" spans="1:8" x14ac:dyDescent="0.3">
      <c r="A217" s="24"/>
      <c r="B217" s="25"/>
      <c r="C217" s="25"/>
      <c r="D217" s="27">
        <f>D215</f>
        <v>50000</v>
      </c>
      <c r="E217" s="30"/>
      <c r="F217" s="28"/>
      <c r="G217" s="28"/>
      <c r="H217" s="27">
        <f>H215</f>
        <v>50000</v>
      </c>
    </row>
    <row r="218" spans="1:8" x14ac:dyDescent="0.3">
      <c r="A218" s="24">
        <v>46113</v>
      </c>
      <c r="B218" s="25" t="s">
        <v>134</v>
      </c>
      <c r="C218" s="25"/>
      <c r="D218" s="27">
        <f>D217</f>
        <v>50000</v>
      </c>
      <c r="E218" s="30"/>
      <c r="F218" s="28"/>
      <c r="G218" s="28"/>
      <c r="H218" s="27"/>
    </row>
    <row r="221" spans="1:8" ht="17.399999999999999" x14ac:dyDescent="0.3">
      <c r="A221" s="1" t="s">
        <v>107</v>
      </c>
      <c r="B221" s="47" t="s">
        <v>93</v>
      </c>
      <c r="C221" s="47"/>
      <c r="D221" s="47"/>
      <c r="E221" s="47"/>
      <c r="F221" s="47"/>
      <c r="G221" s="47"/>
      <c r="H221" s="23" t="s">
        <v>108</v>
      </c>
    </row>
    <row r="222" spans="1:8" ht="15.6" x14ac:dyDescent="0.3">
      <c r="A222" s="12" t="s">
        <v>37</v>
      </c>
      <c r="B222" s="12" t="s">
        <v>38</v>
      </c>
      <c r="C222" s="12" t="s">
        <v>111</v>
      </c>
      <c r="D222" s="18" t="s">
        <v>112</v>
      </c>
      <c r="E222" s="12" t="s">
        <v>37</v>
      </c>
      <c r="F222" s="12" t="s">
        <v>38</v>
      </c>
      <c r="G222" s="12" t="s">
        <v>111</v>
      </c>
      <c r="H222" s="18" t="s">
        <v>112</v>
      </c>
    </row>
    <row r="223" spans="1:8" x14ac:dyDescent="0.3">
      <c r="A223" s="24">
        <v>46011</v>
      </c>
      <c r="B223" s="25" t="s">
        <v>142</v>
      </c>
      <c r="C223" s="25"/>
      <c r="D223" s="29">
        <v>8000</v>
      </c>
      <c r="E223" s="24">
        <v>46112</v>
      </c>
      <c r="F223" s="25" t="s">
        <v>133</v>
      </c>
      <c r="G223" s="25"/>
      <c r="H223" s="29">
        <f>D223</f>
        <v>8000</v>
      </c>
    </row>
    <row r="224" spans="1:8" x14ac:dyDescent="0.3">
      <c r="A224" s="24"/>
      <c r="B224" s="25"/>
      <c r="C224" s="25"/>
      <c r="D224" s="29"/>
      <c r="E224" s="24"/>
      <c r="F224" s="25"/>
      <c r="G224" s="25"/>
      <c r="H224" s="29"/>
    </row>
    <row r="225" spans="1:8" x14ac:dyDescent="0.3">
      <c r="A225" s="24"/>
      <c r="B225" s="25"/>
      <c r="C225" s="25"/>
      <c r="D225" s="27">
        <f>D223</f>
        <v>8000</v>
      </c>
      <c r="E225" s="30"/>
      <c r="F225" s="28"/>
      <c r="G225" s="28"/>
      <c r="H225" s="27">
        <f>H223</f>
        <v>8000</v>
      </c>
    </row>
    <row r="226" spans="1:8" x14ac:dyDescent="0.3">
      <c r="A226" s="24">
        <v>46113</v>
      </c>
      <c r="B226" s="25" t="s">
        <v>134</v>
      </c>
      <c r="C226" s="25"/>
      <c r="D226" s="27">
        <f>D225</f>
        <v>8000</v>
      </c>
      <c r="E226" s="30"/>
      <c r="F226" s="28"/>
      <c r="G226" s="28"/>
      <c r="H226" s="27"/>
    </row>
    <row r="229" spans="1:8" ht="17.399999999999999" x14ac:dyDescent="0.3">
      <c r="A229" s="1" t="s">
        <v>107</v>
      </c>
      <c r="B229" s="47" t="s">
        <v>164</v>
      </c>
      <c r="C229" s="47"/>
      <c r="D229" s="47"/>
      <c r="E229" s="47"/>
      <c r="F229" s="47"/>
      <c r="G229" s="47"/>
      <c r="H229" s="23" t="s">
        <v>108</v>
      </c>
    </row>
    <row r="230" spans="1:8" ht="15.6" x14ac:dyDescent="0.3">
      <c r="A230" s="12" t="s">
        <v>37</v>
      </c>
      <c r="B230" s="12" t="s">
        <v>38</v>
      </c>
      <c r="C230" s="12" t="s">
        <v>111</v>
      </c>
      <c r="D230" s="18" t="s">
        <v>112</v>
      </c>
      <c r="E230" s="12" t="s">
        <v>37</v>
      </c>
      <c r="F230" s="12" t="s">
        <v>38</v>
      </c>
      <c r="G230" s="12" t="s">
        <v>111</v>
      </c>
      <c r="H230" s="18" t="s">
        <v>112</v>
      </c>
    </row>
    <row r="231" spans="1:8" x14ac:dyDescent="0.3">
      <c r="A231" s="24">
        <v>45667</v>
      </c>
      <c r="B231" s="25" t="s">
        <v>142</v>
      </c>
      <c r="C231" s="25"/>
      <c r="D231" s="29">
        <v>12000</v>
      </c>
      <c r="E231" s="24">
        <v>46112</v>
      </c>
      <c r="F231" s="25" t="s">
        <v>133</v>
      </c>
      <c r="G231" s="25"/>
      <c r="H231" s="29">
        <f>D231</f>
        <v>12000</v>
      </c>
    </row>
    <row r="232" spans="1:8" x14ac:dyDescent="0.3">
      <c r="A232" s="24"/>
      <c r="B232" s="25"/>
      <c r="C232" s="25"/>
      <c r="D232" s="29"/>
      <c r="E232" s="24"/>
      <c r="F232" s="25"/>
      <c r="G232" s="25"/>
      <c r="H232" s="29"/>
    </row>
    <row r="233" spans="1:8" x14ac:dyDescent="0.3">
      <c r="A233" s="24"/>
      <c r="B233" s="25"/>
      <c r="C233" s="25"/>
      <c r="D233" s="27">
        <f>D231</f>
        <v>12000</v>
      </c>
      <c r="E233" s="30"/>
      <c r="F233" s="28"/>
      <c r="G233" s="28"/>
      <c r="H233" s="27">
        <f>H231</f>
        <v>12000</v>
      </c>
    </row>
    <row r="234" spans="1:8" x14ac:dyDescent="0.3">
      <c r="A234" s="24">
        <v>46113</v>
      </c>
      <c r="B234" s="25" t="s">
        <v>134</v>
      </c>
      <c r="C234" s="25"/>
      <c r="D234" s="27">
        <f>D233</f>
        <v>12000</v>
      </c>
      <c r="E234" s="30"/>
      <c r="F234" s="28"/>
      <c r="G234" s="28"/>
      <c r="H234" s="27"/>
    </row>
    <row r="237" spans="1:8" ht="17.399999999999999" x14ac:dyDescent="0.3">
      <c r="A237" s="1" t="s">
        <v>107</v>
      </c>
      <c r="B237" s="47" t="s">
        <v>99</v>
      </c>
      <c r="C237" s="47"/>
      <c r="D237" s="47"/>
      <c r="E237" s="47"/>
      <c r="F237" s="47"/>
      <c r="G237" s="47"/>
      <c r="H237" s="23" t="s">
        <v>108</v>
      </c>
    </row>
    <row r="238" spans="1:8" ht="15.6" x14ac:dyDescent="0.3">
      <c r="A238" s="12" t="s">
        <v>37</v>
      </c>
      <c r="B238" s="12" t="s">
        <v>38</v>
      </c>
      <c r="C238" s="12" t="s">
        <v>111</v>
      </c>
      <c r="D238" s="18" t="s">
        <v>112</v>
      </c>
      <c r="E238" s="12" t="s">
        <v>37</v>
      </c>
      <c r="F238" s="12" t="s">
        <v>38</v>
      </c>
      <c r="G238" s="12" t="s">
        <v>111</v>
      </c>
      <c r="H238" s="18" t="s">
        <v>112</v>
      </c>
    </row>
    <row r="239" spans="1:8" x14ac:dyDescent="0.3">
      <c r="A239" s="24">
        <v>46047</v>
      </c>
      <c r="B239" s="25" t="s">
        <v>142</v>
      </c>
      <c r="C239" s="25"/>
      <c r="D239" s="29">
        <v>20000</v>
      </c>
      <c r="E239" s="24">
        <v>46112</v>
      </c>
      <c r="F239" s="25" t="s">
        <v>133</v>
      </c>
      <c r="G239" s="25"/>
      <c r="H239" s="29">
        <f>D239</f>
        <v>20000</v>
      </c>
    </row>
    <row r="240" spans="1:8" x14ac:dyDescent="0.3">
      <c r="A240" s="24"/>
      <c r="B240" s="25"/>
      <c r="C240" s="25"/>
      <c r="D240" s="29"/>
      <c r="E240" s="24"/>
      <c r="F240" s="25"/>
      <c r="G240" s="25"/>
      <c r="H240" s="29"/>
    </row>
    <row r="241" spans="1:8" x14ac:dyDescent="0.3">
      <c r="A241" s="24"/>
      <c r="B241" s="25"/>
      <c r="C241" s="25"/>
      <c r="D241" s="27">
        <f>D239</f>
        <v>20000</v>
      </c>
      <c r="E241" s="30"/>
      <c r="F241" s="28"/>
      <c r="G241" s="28"/>
      <c r="H241" s="27">
        <f>H239</f>
        <v>20000</v>
      </c>
    </row>
    <row r="242" spans="1:8" x14ac:dyDescent="0.3">
      <c r="A242" s="24">
        <v>46113</v>
      </c>
      <c r="B242" s="25" t="s">
        <v>134</v>
      </c>
      <c r="C242" s="25"/>
      <c r="D242" s="27">
        <f>D241</f>
        <v>20000</v>
      </c>
      <c r="E242" s="30"/>
      <c r="F242" s="28"/>
      <c r="G242" s="28"/>
      <c r="H242" s="27"/>
    </row>
    <row r="245" spans="1:8" ht="17.399999999999999" x14ac:dyDescent="0.3">
      <c r="A245" s="1" t="s">
        <v>107</v>
      </c>
      <c r="B245" s="47" t="s">
        <v>166</v>
      </c>
      <c r="C245" s="47"/>
      <c r="D245" s="47"/>
      <c r="E245" s="47"/>
      <c r="F245" s="47"/>
      <c r="G245" s="47"/>
      <c r="H245" s="23" t="s">
        <v>108</v>
      </c>
    </row>
    <row r="246" spans="1:8" ht="15.6" x14ac:dyDescent="0.3">
      <c r="A246" s="12" t="s">
        <v>37</v>
      </c>
      <c r="B246" s="12" t="s">
        <v>38</v>
      </c>
      <c r="C246" s="12" t="s">
        <v>111</v>
      </c>
      <c r="D246" s="18" t="s">
        <v>112</v>
      </c>
      <c r="E246" s="12" t="s">
        <v>37</v>
      </c>
      <c r="F246" s="12" t="s">
        <v>38</v>
      </c>
      <c r="G246" s="12" t="s">
        <v>111</v>
      </c>
      <c r="H246" s="18" t="s">
        <v>112</v>
      </c>
    </row>
    <row r="247" spans="1:8" x14ac:dyDescent="0.3">
      <c r="A247" s="24">
        <v>46112</v>
      </c>
      <c r="B247" s="25" t="s">
        <v>115</v>
      </c>
      <c r="C247" s="25"/>
      <c r="D247" s="29">
        <f>H247</f>
        <v>120000</v>
      </c>
      <c r="E247" s="24">
        <v>46068</v>
      </c>
      <c r="F247" s="25" t="s">
        <v>118</v>
      </c>
      <c r="G247" s="25"/>
      <c r="H247" s="29">
        <v>120000</v>
      </c>
    </row>
    <row r="248" spans="1:8" x14ac:dyDescent="0.3">
      <c r="A248" s="24"/>
      <c r="B248" s="25"/>
      <c r="C248" s="25"/>
      <c r="D248" s="29"/>
      <c r="E248" s="24"/>
      <c r="F248" s="25"/>
      <c r="G248" s="25"/>
      <c r="H248" s="29"/>
    </row>
    <row r="249" spans="1:8" x14ac:dyDescent="0.3">
      <c r="A249" s="24"/>
      <c r="B249" s="25"/>
      <c r="C249" s="25"/>
      <c r="D249" s="27">
        <f>H249</f>
        <v>120000</v>
      </c>
      <c r="E249" s="24"/>
      <c r="F249" s="25"/>
      <c r="G249" s="25"/>
      <c r="H249" s="27">
        <f>SUM(H247:H248)</f>
        <v>120000</v>
      </c>
    </row>
    <row r="250" spans="1:8" x14ac:dyDescent="0.3">
      <c r="A250" s="24"/>
      <c r="B250" s="25"/>
      <c r="C250" s="25"/>
      <c r="D250" s="29"/>
      <c r="E250" s="24">
        <v>46113</v>
      </c>
      <c r="F250" s="25" t="s">
        <v>116</v>
      </c>
      <c r="G250" s="25"/>
      <c r="H250" s="27">
        <f>H249</f>
        <v>120000</v>
      </c>
    </row>
    <row r="253" spans="1:8" ht="17.399999999999999" x14ac:dyDescent="0.3">
      <c r="A253" s="1" t="s">
        <v>107</v>
      </c>
      <c r="B253" s="47" t="s">
        <v>165</v>
      </c>
      <c r="C253" s="47"/>
      <c r="D253" s="47"/>
      <c r="E253" s="47"/>
      <c r="F253" s="47"/>
      <c r="G253" s="47"/>
      <c r="H253" s="23" t="s">
        <v>108</v>
      </c>
    </row>
    <row r="254" spans="1:8" ht="15.6" x14ac:dyDescent="0.3">
      <c r="A254" s="12" t="s">
        <v>37</v>
      </c>
      <c r="B254" s="12" t="s">
        <v>38</v>
      </c>
      <c r="C254" s="12" t="s">
        <v>111</v>
      </c>
      <c r="D254" s="18" t="s">
        <v>112</v>
      </c>
      <c r="E254" s="12" t="s">
        <v>37</v>
      </c>
      <c r="F254" s="12" t="s">
        <v>38</v>
      </c>
      <c r="G254" s="12" t="s">
        <v>111</v>
      </c>
      <c r="H254" s="18" t="s">
        <v>112</v>
      </c>
    </row>
    <row r="255" spans="1:8" x14ac:dyDescent="0.3">
      <c r="A255" s="24">
        <v>46112</v>
      </c>
      <c r="B255" s="25" t="s">
        <v>115</v>
      </c>
      <c r="C255" s="25"/>
      <c r="D255" s="29">
        <f>H255</f>
        <v>4000</v>
      </c>
      <c r="E255" s="24">
        <v>46099</v>
      </c>
      <c r="F255" s="25" t="s">
        <v>167</v>
      </c>
      <c r="G255" s="25"/>
      <c r="H255" s="29">
        <v>4000</v>
      </c>
    </row>
    <row r="256" spans="1:8" x14ac:dyDescent="0.3">
      <c r="A256" s="24"/>
      <c r="B256" s="25"/>
      <c r="C256" s="25"/>
      <c r="D256" s="29"/>
      <c r="E256" s="24"/>
      <c r="F256" s="25"/>
      <c r="G256" s="25"/>
      <c r="H256" s="29"/>
    </row>
    <row r="257" spans="1:8" x14ac:dyDescent="0.3">
      <c r="A257" s="24"/>
      <c r="B257" s="25"/>
      <c r="C257" s="25"/>
      <c r="D257" s="27">
        <f>H257</f>
        <v>4000</v>
      </c>
      <c r="E257" s="24"/>
      <c r="F257" s="25"/>
      <c r="G257" s="25"/>
      <c r="H257" s="27">
        <f>SUM(H255:H256)</f>
        <v>4000</v>
      </c>
    </row>
    <row r="258" spans="1:8" x14ac:dyDescent="0.3">
      <c r="A258" s="24"/>
      <c r="B258" s="25"/>
      <c r="C258" s="25"/>
      <c r="D258" s="29"/>
      <c r="E258" s="24">
        <v>46113</v>
      </c>
      <c r="F258" s="25" t="s">
        <v>116</v>
      </c>
      <c r="G258" s="25"/>
      <c r="H258" s="27">
        <f>H257</f>
        <v>4000</v>
      </c>
    </row>
  </sheetData>
  <mergeCells count="30">
    <mergeCell ref="B3:G3"/>
    <mergeCell ref="A1:H1"/>
    <mergeCell ref="B12:G12"/>
    <mergeCell ref="B31:G31"/>
    <mergeCell ref="B43:G43"/>
    <mergeCell ref="B51:G51"/>
    <mergeCell ref="B62:G62"/>
    <mergeCell ref="B71:G71"/>
    <mergeCell ref="B83:G83"/>
    <mergeCell ref="B91:G91"/>
    <mergeCell ref="B100:G100"/>
    <mergeCell ref="B108:G108"/>
    <mergeCell ref="B116:G116"/>
    <mergeCell ref="B124:G124"/>
    <mergeCell ref="B133:G133"/>
    <mergeCell ref="B141:G141"/>
    <mergeCell ref="B149:G149"/>
    <mergeCell ref="B157:G157"/>
    <mergeCell ref="B165:G165"/>
    <mergeCell ref="B173:G173"/>
    <mergeCell ref="B181:G181"/>
    <mergeCell ref="B189:G189"/>
    <mergeCell ref="B197:G197"/>
    <mergeCell ref="B205:G205"/>
    <mergeCell ref="B213:G213"/>
    <mergeCell ref="B221:G221"/>
    <mergeCell ref="B229:G229"/>
    <mergeCell ref="B237:G237"/>
    <mergeCell ref="B245:G245"/>
    <mergeCell ref="B253:G2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942B-68CC-4B8D-93F2-93BB1B135DA5}">
  <dimension ref="A1:H32"/>
  <sheetViews>
    <sheetView topLeftCell="A23" workbookViewId="0">
      <selection activeCell="E19" sqref="E19"/>
    </sheetView>
  </sheetViews>
  <sheetFormatPr defaultRowHeight="14.4" x14ac:dyDescent="0.3"/>
  <cols>
    <col min="1" max="1" width="8.6640625" customWidth="1"/>
    <col min="2" max="2" width="35.109375" customWidth="1"/>
    <col min="3" max="4" width="17.44140625" style="2" customWidth="1"/>
  </cols>
  <sheetData>
    <row r="1" spans="1:8" ht="45.6" customHeight="1" x14ac:dyDescent="0.3">
      <c r="A1" s="46" t="s">
        <v>110</v>
      </c>
      <c r="B1" s="46"/>
      <c r="C1" s="46"/>
      <c r="D1" s="46"/>
      <c r="E1" s="32"/>
      <c r="F1" s="32"/>
      <c r="G1" s="32"/>
      <c r="H1" s="32"/>
    </row>
    <row r="3" spans="1:8" ht="15.6" x14ac:dyDescent="0.3">
      <c r="A3" s="12" t="s">
        <v>168</v>
      </c>
      <c r="B3" s="12" t="s">
        <v>38</v>
      </c>
      <c r="C3" s="18" t="s">
        <v>40</v>
      </c>
      <c r="D3" s="18" t="s">
        <v>41</v>
      </c>
    </row>
    <row r="4" spans="1:8" x14ac:dyDescent="0.3">
      <c r="A4" s="25">
        <v>1</v>
      </c>
      <c r="B4" s="25" t="s">
        <v>42</v>
      </c>
      <c r="C4" s="26">
        <v>1090000</v>
      </c>
      <c r="D4" s="26"/>
    </row>
    <row r="5" spans="1:8" x14ac:dyDescent="0.3">
      <c r="A5" s="25">
        <v>2</v>
      </c>
      <c r="B5" s="25" t="s">
        <v>44</v>
      </c>
      <c r="C5" s="26">
        <v>614000</v>
      </c>
      <c r="D5" s="26"/>
    </row>
    <row r="6" spans="1:8" x14ac:dyDescent="0.3">
      <c r="A6" s="25">
        <v>3</v>
      </c>
      <c r="B6" s="25" t="s">
        <v>47</v>
      </c>
      <c r="C6" s="26">
        <v>80000</v>
      </c>
      <c r="D6" s="26"/>
    </row>
    <row r="7" spans="1:8" x14ac:dyDescent="0.3">
      <c r="A7" s="25">
        <v>4</v>
      </c>
      <c r="B7" s="25" t="s">
        <v>50</v>
      </c>
      <c r="C7" s="26">
        <v>670000</v>
      </c>
      <c r="D7" s="26"/>
    </row>
    <row r="8" spans="1:8" x14ac:dyDescent="0.3">
      <c r="A8" s="25">
        <v>5</v>
      </c>
      <c r="B8" s="25" t="s">
        <v>57</v>
      </c>
      <c r="C8" s="26">
        <v>10000</v>
      </c>
      <c r="D8" s="26"/>
    </row>
    <row r="9" spans="1:8" x14ac:dyDescent="0.3">
      <c r="A9" s="25">
        <v>6</v>
      </c>
      <c r="B9" s="25" t="s">
        <v>61</v>
      </c>
      <c r="C9" s="26">
        <v>25000</v>
      </c>
      <c r="D9" s="26"/>
    </row>
    <row r="10" spans="1:8" x14ac:dyDescent="0.3">
      <c r="A10" s="25">
        <v>7</v>
      </c>
      <c r="B10" s="25" t="s">
        <v>153</v>
      </c>
      <c r="C10" s="26">
        <v>10000</v>
      </c>
      <c r="D10" s="26"/>
    </row>
    <row r="11" spans="1:8" x14ac:dyDescent="0.3">
      <c r="A11" s="25">
        <v>8</v>
      </c>
      <c r="B11" s="25" t="s">
        <v>69</v>
      </c>
      <c r="C11" s="26">
        <v>20000</v>
      </c>
      <c r="D11" s="26"/>
    </row>
    <row r="12" spans="1:8" x14ac:dyDescent="0.3">
      <c r="A12" s="25">
        <v>9</v>
      </c>
      <c r="B12" s="25" t="s">
        <v>71</v>
      </c>
      <c r="C12" s="26">
        <v>35000</v>
      </c>
      <c r="D12" s="26"/>
    </row>
    <row r="13" spans="1:8" x14ac:dyDescent="0.3">
      <c r="A13" s="25">
        <v>10</v>
      </c>
      <c r="B13" s="25" t="s">
        <v>73</v>
      </c>
      <c r="C13" s="26">
        <v>30000</v>
      </c>
      <c r="D13" s="26"/>
    </row>
    <row r="14" spans="1:8" x14ac:dyDescent="0.3">
      <c r="A14" s="25">
        <v>11</v>
      </c>
      <c r="B14" s="25" t="s">
        <v>158</v>
      </c>
      <c r="C14" s="26">
        <v>12000</v>
      </c>
      <c r="D14" s="26"/>
    </row>
    <row r="15" spans="1:8" x14ac:dyDescent="0.3">
      <c r="A15" s="25">
        <v>12</v>
      </c>
      <c r="B15" s="25" t="s">
        <v>161</v>
      </c>
      <c r="C15" s="26">
        <v>8000</v>
      </c>
      <c r="D15" s="26"/>
    </row>
    <row r="16" spans="1:8" x14ac:dyDescent="0.3">
      <c r="A16" s="25">
        <v>13</v>
      </c>
      <c r="B16" s="25" t="s">
        <v>87</v>
      </c>
      <c r="C16" s="26">
        <v>5000</v>
      </c>
      <c r="D16" s="26"/>
    </row>
    <row r="17" spans="1:4" x14ac:dyDescent="0.3">
      <c r="A17" s="25">
        <v>14</v>
      </c>
      <c r="B17" s="25" t="s">
        <v>162</v>
      </c>
      <c r="C17" s="26">
        <v>15000</v>
      </c>
      <c r="D17" s="26"/>
    </row>
    <row r="18" spans="1:4" x14ac:dyDescent="0.3">
      <c r="A18" s="25">
        <v>15</v>
      </c>
      <c r="B18" s="25" t="s">
        <v>163</v>
      </c>
      <c r="C18" s="26">
        <v>50000</v>
      </c>
      <c r="D18" s="26"/>
    </row>
    <row r="19" spans="1:4" x14ac:dyDescent="0.3">
      <c r="A19" s="25">
        <v>16</v>
      </c>
      <c r="B19" s="25" t="s">
        <v>93</v>
      </c>
      <c r="C19" s="26">
        <v>8000</v>
      </c>
      <c r="D19" s="26"/>
    </row>
    <row r="20" spans="1:4" x14ac:dyDescent="0.3">
      <c r="A20" s="25">
        <v>17</v>
      </c>
      <c r="B20" s="25" t="s">
        <v>164</v>
      </c>
      <c r="C20" s="26">
        <v>12000</v>
      </c>
      <c r="D20" s="26"/>
    </row>
    <row r="21" spans="1:4" x14ac:dyDescent="0.3">
      <c r="A21" s="25">
        <v>18</v>
      </c>
      <c r="B21" s="25" t="s">
        <v>99</v>
      </c>
      <c r="C21" s="26">
        <v>20000</v>
      </c>
      <c r="D21" s="26"/>
    </row>
    <row r="22" spans="1:4" x14ac:dyDescent="0.3">
      <c r="A22" s="25">
        <v>19</v>
      </c>
      <c r="B22" s="25" t="s">
        <v>109</v>
      </c>
      <c r="C22" s="26"/>
      <c r="D22" s="26">
        <v>1500000</v>
      </c>
    </row>
    <row r="23" spans="1:4" x14ac:dyDescent="0.3">
      <c r="A23" s="25">
        <v>20</v>
      </c>
      <c r="B23" s="25" t="s">
        <v>63</v>
      </c>
      <c r="C23" s="26" t="s">
        <v>169</v>
      </c>
      <c r="D23" s="26" t="s">
        <v>169</v>
      </c>
    </row>
    <row r="24" spans="1:4" x14ac:dyDescent="0.3">
      <c r="A24" s="25">
        <v>21</v>
      </c>
      <c r="B24" s="25" t="s">
        <v>147</v>
      </c>
      <c r="C24" s="26"/>
      <c r="D24" s="26">
        <v>870000</v>
      </c>
    </row>
    <row r="25" spans="1:4" x14ac:dyDescent="0.3">
      <c r="A25" s="25">
        <v>22</v>
      </c>
      <c r="B25" s="25" t="s">
        <v>59</v>
      </c>
      <c r="C25" s="26" t="s">
        <v>169</v>
      </c>
      <c r="D25" s="26" t="s">
        <v>169</v>
      </c>
    </row>
    <row r="26" spans="1:4" x14ac:dyDescent="0.3">
      <c r="A26" s="25">
        <v>23</v>
      </c>
      <c r="B26" s="25" t="s">
        <v>152</v>
      </c>
      <c r="C26" s="26"/>
      <c r="D26" s="26">
        <v>15000</v>
      </c>
    </row>
    <row r="27" spans="1:4" x14ac:dyDescent="0.3">
      <c r="A27" s="25">
        <v>24</v>
      </c>
      <c r="B27" s="25" t="s">
        <v>155</v>
      </c>
      <c r="C27" s="26"/>
      <c r="D27" s="26">
        <v>180000</v>
      </c>
    </row>
    <row r="28" spans="1:4" x14ac:dyDescent="0.3">
      <c r="A28" s="25">
        <v>25</v>
      </c>
      <c r="B28" s="25" t="s">
        <v>156</v>
      </c>
      <c r="C28" s="26"/>
      <c r="D28" s="26">
        <v>10000</v>
      </c>
    </row>
    <row r="29" spans="1:4" x14ac:dyDescent="0.3">
      <c r="A29" s="25">
        <v>26</v>
      </c>
      <c r="B29" s="25" t="s">
        <v>159</v>
      </c>
      <c r="C29" s="26"/>
      <c r="D29" s="26">
        <v>15000</v>
      </c>
    </row>
    <row r="30" spans="1:4" x14ac:dyDescent="0.3">
      <c r="A30" s="25">
        <v>27</v>
      </c>
      <c r="B30" s="25" t="s">
        <v>166</v>
      </c>
      <c r="C30" s="26"/>
      <c r="D30" s="26">
        <v>120000</v>
      </c>
    </row>
    <row r="31" spans="1:4" x14ac:dyDescent="0.3">
      <c r="A31" s="25">
        <v>28</v>
      </c>
      <c r="B31" s="25" t="s">
        <v>165</v>
      </c>
      <c r="C31" s="26"/>
      <c r="D31" s="26">
        <v>4000</v>
      </c>
    </row>
    <row r="32" spans="1:4" x14ac:dyDescent="0.3">
      <c r="A32" s="25"/>
      <c r="B32" s="33" t="s">
        <v>170</v>
      </c>
      <c r="C32" s="27">
        <f>SUM(C4:C31)</f>
        <v>2714000</v>
      </c>
      <c r="D32" s="27">
        <f>SUM(D22:D31)</f>
        <v>2714000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7F7B-828F-4F1A-A230-E9F2DA3FDFF2}">
  <dimension ref="A1:I13"/>
  <sheetViews>
    <sheetView topLeftCell="A10" workbookViewId="0">
      <selection activeCell="E19" sqref="E19"/>
    </sheetView>
  </sheetViews>
  <sheetFormatPr defaultRowHeight="14.4" x14ac:dyDescent="0.3"/>
  <cols>
    <col min="1" max="1" width="28" customWidth="1"/>
    <col min="2" max="3" width="13.33203125" style="2" customWidth="1"/>
    <col min="4" max="4" width="28" customWidth="1"/>
    <col min="5" max="6" width="13.33203125" style="2" customWidth="1"/>
  </cols>
  <sheetData>
    <row r="1" spans="1:9" ht="39" customHeight="1" x14ac:dyDescent="0.3">
      <c r="A1" s="46" t="s">
        <v>171</v>
      </c>
      <c r="B1" s="46"/>
      <c r="C1" s="46"/>
      <c r="D1" s="46"/>
      <c r="E1" s="46"/>
      <c r="F1" s="46"/>
    </row>
    <row r="3" spans="1:9" ht="15.6" x14ac:dyDescent="0.3">
      <c r="A3" s="1" t="s">
        <v>107</v>
      </c>
      <c r="B3" s="34"/>
      <c r="C3" s="34"/>
      <c r="D3" s="1"/>
      <c r="E3" s="34"/>
      <c r="F3" s="23" t="s">
        <v>108</v>
      </c>
    </row>
    <row r="4" spans="1:9" ht="15.6" x14ac:dyDescent="0.3">
      <c r="A4" s="9" t="s">
        <v>38</v>
      </c>
      <c r="B4" s="18" t="s">
        <v>112</v>
      </c>
      <c r="C4" s="11" t="s">
        <v>112</v>
      </c>
      <c r="D4" s="12" t="s">
        <v>38</v>
      </c>
      <c r="E4" s="18" t="s">
        <v>112</v>
      </c>
      <c r="F4" s="40" t="s">
        <v>112</v>
      </c>
    </row>
    <row r="5" spans="1:9" x14ac:dyDescent="0.3">
      <c r="A5" s="5" t="s">
        <v>172</v>
      </c>
      <c r="B5" s="16" t="s">
        <v>169</v>
      </c>
      <c r="C5" s="4" t="s">
        <v>169</v>
      </c>
      <c r="D5" s="13" t="s">
        <v>178</v>
      </c>
      <c r="E5" s="4">
        <v>870000</v>
      </c>
      <c r="F5" s="16"/>
    </row>
    <row r="6" spans="1:9" ht="15" thickBot="1" x14ac:dyDescent="0.35">
      <c r="A6" s="5" t="s">
        <v>173</v>
      </c>
      <c r="B6" s="16">
        <v>670000</v>
      </c>
      <c r="C6" s="4"/>
      <c r="D6" s="13" t="s">
        <v>179</v>
      </c>
      <c r="E6" s="35">
        <v>10000</v>
      </c>
      <c r="F6" s="16">
        <f>E5-E6</f>
        <v>860000</v>
      </c>
    </row>
    <row r="7" spans="1:9" ht="15" thickBot="1" x14ac:dyDescent="0.35">
      <c r="A7" s="5" t="s">
        <v>174</v>
      </c>
      <c r="B7" s="39">
        <v>15000</v>
      </c>
      <c r="C7" s="4">
        <f>B6-B7</f>
        <v>655000</v>
      </c>
      <c r="D7" s="13" t="s">
        <v>180</v>
      </c>
      <c r="E7" s="4"/>
      <c r="F7" s="16">
        <v>200000</v>
      </c>
    </row>
    <row r="8" spans="1:9" x14ac:dyDescent="0.3">
      <c r="A8" s="5" t="s">
        <v>175</v>
      </c>
      <c r="B8" s="16"/>
      <c r="C8" s="4"/>
      <c r="D8" s="13"/>
      <c r="E8" s="4"/>
      <c r="F8" s="16"/>
    </row>
    <row r="9" spans="1:9" x14ac:dyDescent="0.3">
      <c r="A9" s="5" t="s">
        <v>176</v>
      </c>
      <c r="B9" s="16">
        <v>10000</v>
      </c>
      <c r="C9" s="4"/>
      <c r="D9" s="13"/>
      <c r="E9" s="4"/>
      <c r="F9" s="16"/>
    </row>
    <row r="10" spans="1:9" ht="15" thickBot="1" x14ac:dyDescent="0.35">
      <c r="A10" s="5" t="s">
        <v>177</v>
      </c>
      <c r="B10" s="39">
        <v>25000</v>
      </c>
      <c r="C10" s="4">
        <f>B10+B9</f>
        <v>35000</v>
      </c>
      <c r="D10" s="13"/>
      <c r="E10" s="4"/>
      <c r="F10" s="16"/>
      <c r="I10" s="36"/>
    </row>
    <row r="11" spans="1:9" x14ac:dyDescent="0.3">
      <c r="A11" s="5" t="s">
        <v>181</v>
      </c>
      <c r="B11" s="16"/>
      <c r="C11" s="4">
        <v>370000</v>
      </c>
      <c r="D11" s="13"/>
      <c r="E11" s="4"/>
      <c r="F11" s="16"/>
    </row>
    <row r="12" spans="1:9" x14ac:dyDescent="0.3">
      <c r="A12" s="5"/>
      <c r="B12" s="16"/>
      <c r="C12" s="4"/>
      <c r="D12" s="13"/>
      <c r="E12" s="4"/>
      <c r="F12" s="17"/>
    </row>
    <row r="13" spans="1:9" x14ac:dyDescent="0.3">
      <c r="A13" s="6"/>
      <c r="B13" s="17"/>
      <c r="C13" s="27">
        <f>SUM(C5:C12)</f>
        <v>1060000</v>
      </c>
      <c r="D13" s="43"/>
      <c r="E13" s="44"/>
      <c r="F13" s="27">
        <f>SUM(F6:F12)</f>
        <v>1060000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81971-8C98-4798-BD64-DEF778603CF6}">
  <dimension ref="A1:F28"/>
  <sheetViews>
    <sheetView topLeftCell="A9" workbookViewId="0">
      <selection activeCell="L7" sqref="L7"/>
    </sheetView>
  </sheetViews>
  <sheetFormatPr defaultRowHeight="14.4" x14ac:dyDescent="0.3"/>
  <cols>
    <col min="1" max="1" width="28.33203125" customWidth="1"/>
    <col min="2" max="3" width="13.109375" style="2" customWidth="1"/>
    <col min="4" max="4" width="28.33203125" customWidth="1"/>
    <col min="5" max="6" width="13.109375" style="2" customWidth="1"/>
  </cols>
  <sheetData>
    <row r="1" spans="1:6" ht="43.2" customHeight="1" x14ac:dyDescent="0.3">
      <c r="A1" s="46" t="s">
        <v>206</v>
      </c>
      <c r="B1" s="46"/>
      <c r="C1" s="46"/>
      <c r="D1" s="46"/>
      <c r="E1" s="46"/>
      <c r="F1" s="46"/>
    </row>
    <row r="3" spans="1:6" ht="15.6" x14ac:dyDescent="0.3">
      <c r="A3" s="1" t="s">
        <v>107</v>
      </c>
      <c r="B3" s="34"/>
      <c r="C3" s="34"/>
      <c r="D3" s="1"/>
      <c r="E3" s="34"/>
      <c r="F3" s="23" t="s">
        <v>108</v>
      </c>
    </row>
    <row r="4" spans="1:6" ht="15.6" x14ac:dyDescent="0.3">
      <c r="A4" s="9" t="s">
        <v>38</v>
      </c>
      <c r="B4" s="18" t="s">
        <v>112</v>
      </c>
      <c r="C4" s="11" t="s">
        <v>112</v>
      </c>
      <c r="D4" s="12" t="s">
        <v>38</v>
      </c>
      <c r="E4" s="11" t="s">
        <v>112</v>
      </c>
      <c r="F4" s="18" t="s">
        <v>112</v>
      </c>
    </row>
    <row r="5" spans="1:6" x14ac:dyDescent="0.3">
      <c r="A5" s="5" t="s">
        <v>182</v>
      </c>
      <c r="B5" s="16"/>
      <c r="C5" s="4">
        <v>20000</v>
      </c>
      <c r="D5" s="13" t="s">
        <v>198</v>
      </c>
      <c r="E5" s="4"/>
      <c r="F5" s="16">
        <v>370000</v>
      </c>
    </row>
    <row r="6" spans="1:6" x14ac:dyDescent="0.3">
      <c r="A6" s="5" t="s">
        <v>183</v>
      </c>
      <c r="B6" s="16">
        <v>35000</v>
      </c>
      <c r="C6" s="4"/>
      <c r="D6" s="13" t="s">
        <v>199</v>
      </c>
      <c r="E6" s="4"/>
      <c r="F6" s="16">
        <v>10000</v>
      </c>
    </row>
    <row r="7" spans="1:6" ht="15" thickBot="1" x14ac:dyDescent="0.35">
      <c r="A7" s="5" t="s">
        <v>212</v>
      </c>
      <c r="B7" s="39">
        <v>5000</v>
      </c>
      <c r="C7" s="4">
        <f>B6+B7</f>
        <v>40000</v>
      </c>
      <c r="D7" s="13" t="s">
        <v>200</v>
      </c>
      <c r="E7" s="4"/>
      <c r="F7" s="16">
        <v>15000</v>
      </c>
    </row>
    <row r="8" spans="1:6" x14ac:dyDescent="0.3">
      <c r="A8" s="5" t="s">
        <v>184</v>
      </c>
      <c r="B8" s="16"/>
      <c r="C8" s="4">
        <v>30000</v>
      </c>
      <c r="D8" s="13" t="s">
        <v>201</v>
      </c>
      <c r="E8" s="4"/>
      <c r="F8" s="16">
        <v>4000</v>
      </c>
    </row>
    <row r="9" spans="1:6" x14ac:dyDescent="0.3">
      <c r="A9" s="5" t="s">
        <v>185</v>
      </c>
      <c r="B9" s="16">
        <v>12000</v>
      </c>
      <c r="C9" s="4"/>
      <c r="D9" s="13"/>
      <c r="E9" s="4"/>
      <c r="F9" s="16"/>
    </row>
    <row r="10" spans="1:6" ht="15" thickBot="1" x14ac:dyDescent="0.35">
      <c r="A10" s="5" t="s">
        <v>186</v>
      </c>
      <c r="B10" s="39">
        <v>2000</v>
      </c>
      <c r="C10" s="4">
        <f>B9-B10</f>
        <v>10000</v>
      </c>
      <c r="D10" s="13"/>
      <c r="E10" s="4"/>
      <c r="F10" s="16"/>
    </row>
    <row r="11" spans="1:6" x14ac:dyDescent="0.3">
      <c r="A11" s="5" t="s">
        <v>187</v>
      </c>
      <c r="B11" s="16"/>
      <c r="C11" s="4">
        <v>8000</v>
      </c>
      <c r="D11" s="13"/>
      <c r="E11" s="4"/>
      <c r="F11" s="16"/>
    </row>
    <row r="12" spans="1:6" x14ac:dyDescent="0.3">
      <c r="A12" s="5" t="s">
        <v>188</v>
      </c>
      <c r="B12" s="16"/>
      <c r="C12" s="4">
        <v>5000</v>
      </c>
      <c r="D12" s="13"/>
      <c r="E12" s="4"/>
      <c r="F12" s="16"/>
    </row>
    <row r="13" spans="1:6" x14ac:dyDescent="0.3">
      <c r="A13" s="5" t="s">
        <v>189</v>
      </c>
      <c r="B13" s="16"/>
      <c r="C13" s="4">
        <v>15000</v>
      </c>
      <c r="D13" s="13"/>
      <c r="E13" s="4"/>
      <c r="F13" s="16"/>
    </row>
    <row r="14" spans="1:6" x14ac:dyDescent="0.3">
      <c r="A14" s="5" t="s">
        <v>190</v>
      </c>
      <c r="B14" s="16"/>
      <c r="C14" s="4">
        <v>8000</v>
      </c>
      <c r="D14" s="13"/>
      <c r="E14" s="4"/>
      <c r="F14" s="16"/>
    </row>
    <row r="15" spans="1:6" x14ac:dyDescent="0.3">
      <c r="A15" s="5" t="s">
        <v>191</v>
      </c>
      <c r="B15" s="16"/>
      <c r="C15" s="4">
        <v>12000</v>
      </c>
      <c r="D15" s="13"/>
      <c r="E15" s="4"/>
      <c r="F15" s="16"/>
    </row>
    <row r="16" spans="1:6" x14ac:dyDescent="0.3">
      <c r="A16" s="5" t="s">
        <v>196</v>
      </c>
      <c r="B16" s="16"/>
      <c r="C16" s="4">
        <v>8000</v>
      </c>
      <c r="D16" s="13"/>
      <c r="E16" s="4"/>
      <c r="F16" s="16"/>
    </row>
    <row r="17" spans="1:6" x14ac:dyDescent="0.3">
      <c r="A17" s="5" t="s">
        <v>197</v>
      </c>
      <c r="B17" s="16"/>
      <c r="C17" s="4">
        <v>10000</v>
      </c>
      <c r="D17" s="13"/>
      <c r="E17" s="4"/>
      <c r="F17" s="16"/>
    </row>
    <row r="18" spans="1:6" x14ac:dyDescent="0.3">
      <c r="A18" s="5" t="s">
        <v>202</v>
      </c>
      <c r="B18" s="16"/>
      <c r="C18" s="45">
        <f>399000-166000</f>
        <v>233000</v>
      </c>
      <c r="D18" s="13"/>
      <c r="E18" s="4"/>
      <c r="F18" s="16"/>
    </row>
    <row r="19" spans="1:6" x14ac:dyDescent="0.3">
      <c r="A19" s="5"/>
      <c r="B19" s="16"/>
      <c r="C19" s="4"/>
      <c r="D19" s="13"/>
      <c r="E19" s="4"/>
      <c r="F19" s="16"/>
    </row>
    <row r="20" spans="1:6" x14ac:dyDescent="0.3">
      <c r="A20" s="6"/>
      <c r="B20" s="17"/>
      <c r="C20" s="27">
        <f>SUM(C5:C19)</f>
        <v>399000</v>
      </c>
      <c r="D20" s="14"/>
      <c r="E20" s="8"/>
      <c r="F20" s="27">
        <f>SUM(F5:F19)</f>
        <v>399000</v>
      </c>
    </row>
    <row r="22" spans="1:6" x14ac:dyDescent="0.3">
      <c r="D22" s="48" t="s">
        <v>30</v>
      </c>
      <c r="E22" s="49"/>
    </row>
    <row r="23" spans="1:6" x14ac:dyDescent="0.3">
      <c r="D23" s="20" t="s">
        <v>192</v>
      </c>
      <c r="E23" s="42">
        <v>80000</v>
      </c>
    </row>
    <row r="24" spans="1:6" x14ac:dyDescent="0.3">
      <c r="D24" s="13" t="s">
        <v>193</v>
      </c>
      <c r="E24" s="41">
        <v>8000</v>
      </c>
    </row>
    <row r="25" spans="1:6" x14ac:dyDescent="0.3">
      <c r="D25" s="14"/>
      <c r="E25" s="38">
        <v>72000</v>
      </c>
    </row>
    <row r="26" spans="1:6" x14ac:dyDescent="0.3">
      <c r="D26" s="13" t="s">
        <v>194</v>
      </c>
      <c r="E26" s="37">
        <v>50000</v>
      </c>
    </row>
    <row r="27" spans="1:6" x14ac:dyDescent="0.3">
      <c r="D27" s="13" t="s">
        <v>195</v>
      </c>
      <c r="E27" s="41">
        <v>10000</v>
      </c>
    </row>
    <row r="28" spans="1:6" x14ac:dyDescent="0.3">
      <c r="D28" s="14"/>
      <c r="E28" s="38">
        <v>40000</v>
      </c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2BFC-BFD1-4947-9CBE-2D02E3E6D326}">
  <dimension ref="A1:F16"/>
  <sheetViews>
    <sheetView topLeftCell="A8" workbookViewId="0">
      <selection activeCell="F22" sqref="F22"/>
    </sheetView>
  </sheetViews>
  <sheetFormatPr defaultRowHeight="14.4" x14ac:dyDescent="0.3"/>
  <cols>
    <col min="1" max="1" width="29.44140625" customWidth="1"/>
    <col min="2" max="3" width="15.44140625" style="2" customWidth="1"/>
    <col min="4" max="4" width="29.44140625" customWidth="1"/>
    <col min="5" max="6" width="15.44140625" style="2" customWidth="1"/>
  </cols>
  <sheetData>
    <row r="1" spans="1:6" ht="33" customHeight="1" x14ac:dyDescent="0.3">
      <c r="A1" s="46" t="s">
        <v>205</v>
      </c>
      <c r="B1" s="46"/>
      <c r="C1" s="46"/>
      <c r="D1" s="46"/>
      <c r="E1" s="46"/>
      <c r="F1" s="46"/>
    </row>
    <row r="3" spans="1:6" ht="15.6" x14ac:dyDescent="0.3">
      <c r="A3" s="1" t="s">
        <v>107</v>
      </c>
      <c r="B3" s="34"/>
      <c r="C3" s="34"/>
      <c r="D3" s="1"/>
      <c r="E3" s="34"/>
      <c r="F3" s="23" t="s">
        <v>108</v>
      </c>
    </row>
    <row r="4" spans="1:6" ht="15.6" x14ac:dyDescent="0.3">
      <c r="A4" s="9" t="s">
        <v>203</v>
      </c>
      <c r="B4" s="18" t="s">
        <v>112</v>
      </c>
      <c r="C4" s="11" t="s">
        <v>112</v>
      </c>
      <c r="D4" s="12" t="s">
        <v>204</v>
      </c>
      <c r="E4" s="11" t="s">
        <v>112</v>
      </c>
      <c r="F4" s="18" t="s">
        <v>112</v>
      </c>
    </row>
    <row r="5" spans="1:6" x14ac:dyDescent="0.3">
      <c r="A5" s="5" t="s">
        <v>207</v>
      </c>
      <c r="B5" s="16">
        <v>1500000</v>
      </c>
      <c r="C5" s="4"/>
      <c r="D5" s="13" t="s">
        <v>215</v>
      </c>
      <c r="E5" s="4"/>
      <c r="F5" s="16"/>
    </row>
    <row r="6" spans="1:6" x14ac:dyDescent="0.3">
      <c r="A6" s="5" t="s">
        <v>208</v>
      </c>
      <c r="B6" s="16">
        <v>20000</v>
      </c>
      <c r="C6" s="4"/>
      <c r="D6" s="13" t="s">
        <v>216</v>
      </c>
      <c r="E6" s="4">
        <v>1090000</v>
      </c>
      <c r="F6" s="16"/>
    </row>
    <row r="7" spans="1:6" ht="15" thickBot="1" x14ac:dyDescent="0.35">
      <c r="A7" s="5" t="s">
        <v>209</v>
      </c>
      <c r="B7" s="39">
        <v>233000</v>
      </c>
      <c r="C7" s="4">
        <f>B5-B6+B7</f>
        <v>1713000</v>
      </c>
      <c r="D7" s="13" t="s">
        <v>217</v>
      </c>
      <c r="E7" s="35">
        <v>614000</v>
      </c>
      <c r="F7" s="16">
        <f>E6+E7</f>
        <v>1704000</v>
      </c>
    </row>
    <row r="8" spans="1:6" x14ac:dyDescent="0.3">
      <c r="A8" s="5" t="s">
        <v>210</v>
      </c>
      <c r="B8" s="16"/>
      <c r="C8" s="4"/>
      <c r="D8" s="13" t="s">
        <v>218</v>
      </c>
      <c r="E8" s="4"/>
      <c r="F8" s="16">
        <v>2000</v>
      </c>
    </row>
    <row r="9" spans="1:6" x14ac:dyDescent="0.3">
      <c r="A9" s="5" t="s">
        <v>211</v>
      </c>
      <c r="B9" s="16"/>
      <c r="C9" s="4">
        <v>5000</v>
      </c>
      <c r="D9" s="13" t="s">
        <v>219</v>
      </c>
      <c r="E9" s="4"/>
      <c r="F9" s="16">
        <v>200000</v>
      </c>
    </row>
    <row r="10" spans="1:6" x14ac:dyDescent="0.3">
      <c r="A10" s="5" t="s">
        <v>214</v>
      </c>
      <c r="B10" s="16"/>
      <c r="C10" s="4">
        <v>180000</v>
      </c>
      <c r="D10" s="13" t="s">
        <v>220</v>
      </c>
      <c r="E10" s="4"/>
      <c r="F10" s="16"/>
    </row>
    <row r="11" spans="1:6" x14ac:dyDescent="0.3">
      <c r="A11" s="5" t="s">
        <v>213</v>
      </c>
      <c r="B11" s="16"/>
      <c r="C11" s="4">
        <v>120000</v>
      </c>
      <c r="D11" s="13" t="s">
        <v>192</v>
      </c>
      <c r="E11" s="4">
        <v>80000</v>
      </c>
      <c r="F11" s="16"/>
    </row>
    <row r="12" spans="1:6" ht="15" thickBot="1" x14ac:dyDescent="0.35">
      <c r="A12" s="5"/>
      <c r="B12" s="16"/>
      <c r="C12" s="4"/>
      <c r="D12" s="13" t="s">
        <v>221</v>
      </c>
      <c r="E12" s="35">
        <v>8000</v>
      </c>
      <c r="F12" s="16">
        <f>E11-E12</f>
        <v>72000</v>
      </c>
    </row>
    <row r="13" spans="1:6" x14ac:dyDescent="0.3">
      <c r="A13" s="5"/>
      <c r="B13" s="16"/>
      <c r="C13" s="4"/>
      <c r="D13" s="13" t="s">
        <v>194</v>
      </c>
      <c r="E13" s="4">
        <v>50000</v>
      </c>
      <c r="F13" s="16"/>
    </row>
    <row r="14" spans="1:6" ht="15" thickBot="1" x14ac:dyDescent="0.35">
      <c r="A14" s="5"/>
      <c r="B14" s="16"/>
      <c r="C14" s="4"/>
      <c r="D14" s="13" t="s">
        <v>222</v>
      </c>
      <c r="E14" s="35">
        <v>10000</v>
      </c>
      <c r="F14" s="16">
        <f>E13-E14</f>
        <v>40000</v>
      </c>
    </row>
    <row r="15" spans="1:6" x14ac:dyDescent="0.3">
      <c r="A15" s="5"/>
      <c r="B15" s="16"/>
      <c r="C15" s="4"/>
      <c r="D15" s="13"/>
      <c r="E15" s="4"/>
      <c r="F15" s="17"/>
    </row>
    <row r="16" spans="1:6" x14ac:dyDescent="0.3">
      <c r="A16" s="6"/>
      <c r="B16" s="17"/>
      <c r="C16" s="27">
        <f>SUM(C7:C15)</f>
        <v>2018000</v>
      </c>
      <c r="D16" s="14"/>
      <c r="E16" s="8"/>
      <c r="F16" s="27">
        <f>SUM(F7:F15)</f>
        <v>2018000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5455-223F-4D35-A8AA-279DE87D9F4F}">
  <dimension ref="A1:C48"/>
  <sheetViews>
    <sheetView tabSelected="1" workbookViewId="0">
      <selection activeCell="A2" sqref="A2:B2"/>
    </sheetView>
  </sheetViews>
  <sheetFormatPr defaultRowHeight="14.4" x14ac:dyDescent="0.3"/>
  <cols>
    <col min="1" max="1" width="52.77734375" customWidth="1"/>
    <col min="2" max="2" width="78.109375" bestFit="1" customWidth="1"/>
    <col min="3" max="3" width="80.21875" bestFit="1" customWidth="1"/>
  </cols>
  <sheetData>
    <row r="1" spans="1:3" ht="17.399999999999999" x14ac:dyDescent="0.3">
      <c r="A1" s="50" t="s">
        <v>223</v>
      </c>
      <c r="B1" s="50"/>
      <c r="C1" s="51" t="s">
        <v>224</v>
      </c>
    </row>
    <row r="2" spans="1:3" x14ac:dyDescent="0.3">
      <c r="A2" s="52" t="s">
        <v>225</v>
      </c>
      <c r="B2" s="53"/>
      <c r="C2" s="54"/>
    </row>
    <row r="3" spans="1:3" x14ac:dyDescent="0.3">
      <c r="A3" s="55" t="s">
        <v>226</v>
      </c>
      <c r="B3" s="56" t="s">
        <v>227</v>
      </c>
      <c r="C3" s="57"/>
    </row>
    <row r="4" spans="1:3" x14ac:dyDescent="0.3">
      <c r="A4" s="58" t="s">
        <v>228</v>
      </c>
      <c r="B4" s="59">
        <v>1906000</v>
      </c>
      <c r="C4" s="57" t="s">
        <v>229</v>
      </c>
    </row>
    <row r="5" spans="1:3" x14ac:dyDescent="0.3">
      <c r="A5" s="58" t="s">
        <v>230</v>
      </c>
      <c r="B5" s="59">
        <v>305000</v>
      </c>
      <c r="C5" s="57" t="s">
        <v>292</v>
      </c>
    </row>
    <row r="6" spans="1:3" x14ac:dyDescent="0.3">
      <c r="A6" s="58"/>
      <c r="B6" s="59"/>
      <c r="C6" s="60" t="s">
        <v>231</v>
      </c>
    </row>
    <row r="7" spans="1:3" x14ac:dyDescent="0.3">
      <c r="A7" s="58" t="s">
        <v>232</v>
      </c>
      <c r="B7" s="61">
        <f>(B4/B5)</f>
        <v>6.249180327868852</v>
      </c>
      <c r="C7" s="60" t="s">
        <v>233</v>
      </c>
    </row>
    <row r="8" spans="1:3" x14ac:dyDescent="0.3">
      <c r="A8" s="62"/>
      <c r="B8" s="63"/>
      <c r="C8" s="62"/>
    </row>
    <row r="9" spans="1:3" x14ac:dyDescent="0.3">
      <c r="A9" s="55" t="s">
        <v>234</v>
      </c>
      <c r="B9" s="64" t="s">
        <v>235</v>
      </c>
      <c r="C9" s="57"/>
    </row>
    <row r="10" spans="1:3" x14ac:dyDescent="0.3">
      <c r="A10" s="58" t="s">
        <v>236</v>
      </c>
      <c r="B10" s="59">
        <f>B4-200000-2000</f>
        <v>1704000</v>
      </c>
      <c r="C10" s="57" t="s">
        <v>237</v>
      </c>
    </row>
    <row r="11" spans="1:3" x14ac:dyDescent="0.3">
      <c r="A11" s="58" t="s">
        <v>230</v>
      </c>
      <c r="B11" s="59">
        <f>B5</f>
        <v>305000</v>
      </c>
      <c r="C11" s="57" t="s">
        <v>293</v>
      </c>
    </row>
    <row r="12" spans="1:3" x14ac:dyDescent="0.3">
      <c r="A12" s="58"/>
      <c r="B12" s="59"/>
      <c r="C12" s="60" t="s">
        <v>238</v>
      </c>
    </row>
    <row r="13" spans="1:3" x14ac:dyDescent="0.3">
      <c r="A13" s="58" t="s">
        <v>239</v>
      </c>
      <c r="B13" s="61">
        <f>(B10/B11)</f>
        <v>5.5868852459016392</v>
      </c>
      <c r="C13" s="65" t="s">
        <v>240</v>
      </c>
    </row>
    <row r="14" spans="1:3" x14ac:dyDescent="0.3">
      <c r="A14" s="62"/>
      <c r="B14" s="66"/>
      <c r="C14" s="62"/>
    </row>
    <row r="15" spans="1:3" x14ac:dyDescent="0.3">
      <c r="A15" s="55" t="s">
        <v>241</v>
      </c>
      <c r="B15" s="67" t="s">
        <v>242</v>
      </c>
      <c r="C15" s="57"/>
    </row>
    <row r="16" spans="1:3" x14ac:dyDescent="0.3">
      <c r="A16" s="58" t="s">
        <v>243</v>
      </c>
      <c r="B16" s="59">
        <v>1704000</v>
      </c>
      <c r="C16" s="57" t="s">
        <v>244</v>
      </c>
    </row>
    <row r="17" spans="1:3" x14ac:dyDescent="0.3">
      <c r="A17" s="58" t="s">
        <v>230</v>
      </c>
      <c r="B17" s="59">
        <f>B5</f>
        <v>305000</v>
      </c>
      <c r="C17" s="57" t="s">
        <v>286</v>
      </c>
    </row>
    <row r="18" spans="1:3" x14ac:dyDescent="0.3">
      <c r="A18" s="58"/>
      <c r="B18" s="59"/>
      <c r="C18" s="57" t="s">
        <v>245</v>
      </c>
    </row>
    <row r="19" spans="1:3" x14ac:dyDescent="0.3">
      <c r="A19" s="58" t="s">
        <v>246</v>
      </c>
      <c r="B19" s="61">
        <f>(B16/B17)</f>
        <v>5.5868852459016392</v>
      </c>
      <c r="C19" s="60" t="s">
        <v>247</v>
      </c>
    </row>
    <row r="20" spans="1:3" x14ac:dyDescent="0.3">
      <c r="A20" s="68"/>
      <c r="B20" s="66"/>
      <c r="C20" s="62"/>
    </row>
    <row r="21" spans="1:3" x14ac:dyDescent="0.3">
      <c r="A21" s="69" t="s">
        <v>248</v>
      </c>
      <c r="B21" s="67" t="s">
        <v>249</v>
      </c>
      <c r="C21" s="57"/>
    </row>
    <row r="22" spans="1:3" x14ac:dyDescent="0.3">
      <c r="A22" s="58" t="s">
        <v>250</v>
      </c>
      <c r="B22" s="59">
        <v>305000</v>
      </c>
      <c r="C22" s="57" t="s">
        <v>251</v>
      </c>
    </row>
    <row r="23" spans="1:3" x14ac:dyDescent="0.3">
      <c r="A23" s="58" t="s">
        <v>252</v>
      </c>
      <c r="B23" s="59">
        <v>1713000</v>
      </c>
      <c r="C23" s="57" t="s">
        <v>287</v>
      </c>
    </row>
    <row r="24" spans="1:3" x14ac:dyDescent="0.3">
      <c r="A24" s="58"/>
      <c r="B24" s="59"/>
      <c r="C24" s="57" t="s">
        <v>253</v>
      </c>
    </row>
    <row r="25" spans="1:3" ht="28.2" x14ac:dyDescent="0.3">
      <c r="A25" s="58" t="s">
        <v>254</v>
      </c>
      <c r="B25" s="70">
        <f>(B22/B23)</f>
        <v>0.17805020431990659</v>
      </c>
      <c r="C25" s="60" t="s">
        <v>255</v>
      </c>
    </row>
    <row r="26" spans="1:3" x14ac:dyDescent="0.3">
      <c r="A26" s="71"/>
      <c r="B26" s="63"/>
      <c r="C26" s="62"/>
    </row>
    <row r="27" spans="1:3" x14ac:dyDescent="0.3">
      <c r="A27" s="55" t="s">
        <v>256</v>
      </c>
      <c r="B27" s="67" t="s">
        <v>257</v>
      </c>
      <c r="C27" s="57" t="s">
        <v>258</v>
      </c>
    </row>
    <row r="28" spans="1:3" x14ac:dyDescent="0.3">
      <c r="A28" s="58" t="s">
        <v>250</v>
      </c>
      <c r="B28" s="59">
        <f>B22</f>
        <v>305000</v>
      </c>
      <c r="C28" s="57" t="s">
        <v>288</v>
      </c>
    </row>
    <row r="29" spans="1:3" x14ac:dyDescent="0.3">
      <c r="A29" s="58" t="s">
        <v>259</v>
      </c>
      <c r="B29" s="59">
        <v>2018000</v>
      </c>
      <c r="C29" s="57" t="s">
        <v>260</v>
      </c>
    </row>
    <row r="30" spans="1:3" x14ac:dyDescent="0.3">
      <c r="A30" s="58" t="s">
        <v>261</v>
      </c>
      <c r="B30" s="70">
        <f>(B28/B29)</f>
        <v>0.15113974231912786</v>
      </c>
      <c r="C30" s="57" t="s">
        <v>262</v>
      </c>
    </row>
    <row r="31" spans="1:3" x14ac:dyDescent="0.3">
      <c r="A31" s="62"/>
      <c r="B31" s="63"/>
      <c r="C31" s="62"/>
    </row>
    <row r="32" spans="1:3" x14ac:dyDescent="0.3">
      <c r="A32" s="55" t="s">
        <v>263</v>
      </c>
      <c r="B32" s="67" t="s">
        <v>264</v>
      </c>
      <c r="C32" s="57" t="s">
        <v>265</v>
      </c>
    </row>
    <row r="33" spans="1:3" x14ac:dyDescent="0.3">
      <c r="A33" s="58" t="s">
        <v>266</v>
      </c>
      <c r="B33" s="59">
        <v>860000</v>
      </c>
      <c r="C33" s="57" t="s">
        <v>289</v>
      </c>
    </row>
    <row r="34" spans="1:3" x14ac:dyDescent="0.3">
      <c r="A34" s="58" t="s">
        <v>259</v>
      </c>
      <c r="B34" s="59">
        <f>B29</f>
        <v>2018000</v>
      </c>
      <c r="C34" s="57" t="s">
        <v>267</v>
      </c>
    </row>
    <row r="35" spans="1:3" x14ac:dyDescent="0.3">
      <c r="A35" s="58" t="s">
        <v>268</v>
      </c>
      <c r="B35" s="72">
        <f>B33/B34</f>
        <v>0.42616451932606542</v>
      </c>
      <c r="C35" s="57" t="s">
        <v>269</v>
      </c>
    </row>
    <row r="36" spans="1:3" x14ac:dyDescent="0.3">
      <c r="A36" s="68"/>
      <c r="B36" s="63"/>
      <c r="C36" s="62"/>
    </row>
    <row r="37" spans="1:3" x14ac:dyDescent="0.3">
      <c r="A37" s="55" t="s">
        <v>270</v>
      </c>
      <c r="B37" s="73" t="s">
        <v>271</v>
      </c>
      <c r="C37" s="57"/>
    </row>
    <row r="38" spans="1:3" x14ac:dyDescent="0.3">
      <c r="A38" s="58" t="s">
        <v>272</v>
      </c>
      <c r="B38" s="59">
        <v>490000</v>
      </c>
      <c r="C38" s="57" t="s">
        <v>273</v>
      </c>
    </row>
    <row r="39" spans="1:3" x14ac:dyDescent="0.3">
      <c r="A39" s="58" t="s">
        <v>274</v>
      </c>
      <c r="B39" s="59">
        <v>100000</v>
      </c>
      <c r="C39" s="57" t="s">
        <v>290</v>
      </c>
    </row>
    <row r="40" spans="1:3" x14ac:dyDescent="0.3">
      <c r="A40" s="58"/>
      <c r="B40" s="59"/>
      <c r="C40" s="60" t="s">
        <v>275</v>
      </c>
    </row>
    <row r="41" spans="1:3" x14ac:dyDescent="0.3">
      <c r="A41" s="58" t="s">
        <v>276</v>
      </c>
      <c r="B41" s="61">
        <f>B38/B39</f>
        <v>4.9000000000000004</v>
      </c>
      <c r="C41" s="57" t="s">
        <v>277</v>
      </c>
    </row>
    <row r="42" spans="1:3" x14ac:dyDescent="0.3">
      <c r="A42" s="62"/>
      <c r="B42" s="63"/>
      <c r="C42" s="62"/>
    </row>
    <row r="43" spans="1:3" x14ac:dyDescent="0.3">
      <c r="A43" s="55" t="s">
        <v>278</v>
      </c>
      <c r="B43" s="67" t="s">
        <v>279</v>
      </c>
      <c r="C43" s="57"/>
    </row>
    <row r="44" spans="1:3" x14ac:dyDescent="0.3">
      <c r="A44" s="58" t="s">
        <v>280</v>
      </c>
      <c r="B44" s="59">
        <f>B33</f>
        <v>860000</v>
      </c>
      <c r="C44" s="57" t="s">
        <v>281</v>
      </c>
    </row>
    <row r="45" spans="1:3" x14ac:dyDescent="0.3">
      <c r="A45" s="58" t="s">
        <v>282</v>
      </c>
      <c r="B45" s="59">
        <f>(B4-B5)</f>
        <v>1601000</v>
      </c>
      <c r="C45" s="57" t="s">
        <v>291</v>
      </c>
    </row>
    <row r="46" spans="1:3" x14ac:dyDescent="0.3">
      <c r="A46" s="58"/>
      <c r="B46" s="59"/>
      <c r="C46" s="57" t="s">
        <v>283</v>
      </c>
    </row>
    <row r="47" spans="1:3" x14ac:dyDescent="0.3">
      <c r="A47" s="74" t="s">
        <v>284</v>
      </c>
      <c r="B47" s="75">
        <f>B44/B45</f>
        <v>0.53716427232979391</v>
      </c>
      <c r="C47" s="54" t="s">
        <v>285</v>
      </c>
    </row>
    <row r="48" spans="1:3" x14ac:dyDescent="0.3">
      <c r="A48" s="76"/>
      <c r="B48" s="76"/>
      <c r="C48" s="76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Problems.</vt:lpstr>
      <vt:lpstr>Journal entries.</vt:lpstr>
      <vt:lpstr>Ledger Accounts.</vt:lpstr>
      <vt:lpstr>Trial Balance.</vt:lpstr>
      <vt:lpstr>Trading Account.</vt:lpstr>
      <vt:lpstr>P&amp;L.</vt:lpstr>
      <vt:lpstr>Balance Sheet.</vt:lpstr>
      <vt:lpstr>Ratio Analysis.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 Raja</dc:creator>
  <cp:lastModifiedBy>ELCOT</cp:lastModifiedBy>
  <dcterms:created xsi:type="dcterms:W3CDTF">2026-08-10T03:21:44Z</dcterms:created>
  <dcterms:modified xsi:type="dcterms:W3CDTF">2026-08-14T04:24:50Z</dcterms:modified>
</cp:coreProperties>
</file>